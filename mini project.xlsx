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YAMUNA\Downloads\excel\"/>
    </mc:Choice>
  </mc:AlternateContent>
  <xr:revisionPtr revIDLastSave="0" documentId="8_{236AF165-5596-4F8F-A7BF-377A9BD5E4AC}" xr6:coauthVersionLast="47" xr6:coauthVersionMax="47" xr10:uidLastSave="{00000000-0000-0000-0000-000000000000}"/>
  <bookViews>
    <workbookView xWindow="-108" yWindow="-108" windowWidth="23256" windowHeight="13896" xr2:uid="{98807CCD-2DF7-4CCE-940B-E5A26D1FF34F}"/>
  </bookViews>
  <sheets>
    <sheet name="raw data" sheetId="1" r:id="rId1"/>
    <sheet name="formating" sheetId="2" r:id="rId2"/>
    <sheet name="pivot charts" sheetId="3" r:id="rId3"/>
    <sheet name="creating charts" sheetId="4" r:id="rId4"/>
  </sheets>
  <definedNames>
    <definedName name="Slicer_Result">#N/A</definedName>
    <definedName name="Slicer_Team">#N/A</definedName>
    <definedName name="Slicer_Venue">#N/A</definedName>
  </definedNames>
  <calcPr calcId="191029"/>
  <pivotCaches>
    <pivotCache cacheId="6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 i="2"/>
</calcChain>
</file>

<file path=xl/sharedStrings.xml><?xml version="1.0" encoding="utf-8"?>
<sst xmlns="http://schemas.openxmlformats.org/spreadsheetml/2006/main" count="281" uniqueCount="59">
  <si>
    <t>Match_ID</t>
  </si>
  <si>
    <t>Team</t>
  </si>
  <si>
    <t>Opponent</t>
  </si>
  <si>
    <t>Player</t>
  </si>
  <si>
    <t>Runs</t>
  </si>
  <si>
    <t>Wickets</t>
  </si>
  <si>
    <t>Strike_Rate</t>
  </si>
  <si>
    <t>Venue</t>
  </si>
  <si>
    <t>Result</t>
  </si>
  <si>
    <t>RCB</t>
  </si>
  <si>
    <t>CSK</t>
  </si>
  <si>
    <t>Virat Kohli</t>
  </si>
  <si>
    <t>Bangalore</t>
  </si>
  <si>
    <t>Win</t>
  </si>
  <si>
    <t>MI</t>
  </si>
  <si>
    <t>KKR</t>
  </si>
  <si>
    <t>Rohit Sharma</t>
  </si>
  <si>
    <t>Mumbai</t>
  </si>
  <si>
    <t>Loss</t>
  </si>
  <si>
    <t>Ruturaj Gaikwad</t>
  </si>
  <si>
    <t>Chennai</t>
  </si>
  <si>
    <t>SRH</t>
  </si>
  <si>
    <t>Travis Head</t>
  </si>
  <si>
    <t>Hyderabad</t>
  </si>
  <si>
    <t>RR</t>
  </si>
  <si>
    <t>Andre Russell</t>
  </si>
  <si>
    <t>Kolkata</t>
  </si>
  <si>
    <t>Sanju Samson</t>
  </si>
  <si>
    <t>Jaipur</t>
  </si>
  <si>
    <t>DC</t>
  </si>
  <si>
    <t>PBKS</t>
  </si>
  <si>
    <t>Rishabh Pant</t>
  </si>
  <si>
    <t>Delhi</t>
  </si>
  <si>
    <t>Shikhar Dhawan</t>
  </si>
  <si>
    <t>Mohali</t>
  </si>
  <si>
    <t>GT</t>
  </si>
  <si>
    <t>LSG</t>
  </si>
  <si>
    <t>Shubman Gill</t>
  </si>
  <si>
    <t>Ahmedabad</t>
  </si>
  <si>
    <t>KL Rahul</t>
  </si>
  <si>
    <t>Lucknow</t>
  </si>
  <si>
    <t>Bengaluru</t>
  </si>
  <si>
    <t>MS Dhoni</t>
  </si>
  <si>
    <t>Suryakumar Yadav</t>
  </si>
  <si>
    <t>Sunil Narine</t>
  </si>
  <si>
    <t>Jos Buttler</t>
  </si>
  <si>
    <t>David Warner</t>
  </si>
  <si>
    <t>Liam Livingstone</t>
  </si>
  <si>
    <t>Heinrich Klaasen</t>
  </si>
  <si>
    <t>HYD</t>
  </si>
  <si>
    <t>Rashid Khan</t>
  </si>
  <si>
    <t>Nicholas Pooran</t>
  </si>
  <si>
    <t>Bangaluru</t>
  </si>
  <si>
    <t>performance</t>
  </si>
  <si>
    <t>Sum of Runs</t>
  </si>
  <si>
    <t>Row Labels</t>
  </si>
  <si>
    <t>Grand Total</t>
  </si>
  <si>
    <t>Sum of Strike_Rate</t>
  </si>
  <si>
    <t>Count of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</si>
</sst>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charts'!$B$2</c:f>
              <c:strCache>
                <c:ptCount val="1"/>
                <c:pt idx="0">
                  <c:v>Total</c:v>
                </c:pt>
              </c:strCache>
            </c:strRef>
          </c:tx>
          <c:spPr>
            <a:solidFill>
              <a:schemeClr val="accent1"/>
            </a:solidFill>
            <a:ln>
              <a:noFill/>
            </a:ln>
            <a:effectLst/>
          </c:spPr>
          <c:invertIfNegative val="0"/>
          <c:cat>
            <c:strRef>
              <c:f>'pivot charts'!$A$3:$A$13</c:f>
              <c:strCache>
                <c:ptCount val="10"/>
                <c:pt idx="0">
                  <c:v>CSK</c:v>
                </c:pt>
                <c:pt idx="1">
                  <c:v>DC</c:v>
                </c:pt>
                <c:pt idx="2">
                  <c:v>GT</c:v>
                </c:pt>
                <c:pt idx="3">
                  <c:v>KKR</c:v>
                </c:pt>
                <c:pt idx="4">
                  <c:v>LSG</c:v>
                </c:pt>
                <c:pt idx="5">
                  <c:v>MI</c:v>
                </c:pt>
                <c:pt idx="6">
                  <c:v>PBKS</c:v>
                </c:pt>
                <c:pt idx="7">
                  <c:v>RCB</c:v>
                </c:pt>
                <c:pt idx="8">
                  <c:v>RR</c:v>
                </c:pt>
                <c:pt idx="9">
                  <c:v>SRH</c:v>
                </c:pt>
              </c:strCache>
            </c:strRef>
          </c:cat>
          <c:val>
            <c:numRef>
              <c:f>'pivot charts'!$B$3:$B$13</c:f>
              <c:numCache>
                <c:formatCode>General</c:formatCode>
                <c:ptCount val="10"/>
                <c:pt idx="0">
                  <c:v>101</c:v>
                </c:pt>
                <c:pt idx="1">
                  <c:v>114</c:v>
                </c:pt>
                <c:pt idx="2">
                  <c:v>109</c:v>
                </c:pt>
                <c:pt idx="3">
                  <c:v>63</c:v>
                </c:pt>
                <c:pt idx="4">
                  <c:v>118</c:v>
                </c:pt>
                <c:pt idx="5">
                  <c:v>122</c:v>
                </c:pt>
                <c:pt idx="6">
                  <c:v>105</c:v>
                </c:pt>
                <c:pt idx="7">
                  <c:v>183</c:v>
                </c:pt>
                <c:pt idx="8">
                  <c:v>167</c:v>
                </c:pt>
                <c:pt idx="9">
                  <c:v>174</c:v>
                </c:pt>
              </c:numCache>
            </c:numRef>
          </c:val>
          <c:extLst>
            <c:ext xmlns:c16="http://schemas.microsoft.com/office/drawing/2014/chart" uri="{C3380CC4-5D6E-409C-BE32-E72D297353CC}">
              <c16:uniqueId val="{00000000-A214-4C89-9994-14910F0EEDEA}"/>
            </c:ext>
          </c:extLst>
        </c:ser>
        <c:dLbls>
          <c:showLegendKey val="0"/>
          <c:showVal val="0"/>
          <c:showCatName val="0"/>
          <c:showSerName val="0"/>
          <c:showPercent val="0"/>
          <c:showBubbleSize val="0"/>
        </c:dLbls>
        <c:gapWidth val="219"/>
        <c:overlap val="-27"/>
        <c:axId val="944641199"/>
        <c:axId val="944637359"/>
      </c:barChart>
      <c:catAx>
        <c:axId val="94464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37359"/>
        <c:crosses val="autoZero"/>
        <c:auto val="1"/>
        <c:lblAlgn val="ctr"/>
        <c:lblOffset val="100"/>
        <c:noMultiLvlLbl val="0"/>
      </c:catAx>
      <c:valAx>
        <c:axId val="9446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4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Players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charts'!$B$20</c:f>
              <c:strCache>
                <c:ptCount val="1"/>
                <c:pt idx="0">
                  <c:v>Total</c:v>
                </c:pt>
              </c:strCache>
            </c:strRef>
          </c:tx>
          <c:spPr>
            <a:solidFill>
              <a:schemeClr val="accent1"/>
            </a:solidFill>
            <a:ln>
              <a:noFill/>
            </a:ln>
            <a:effectLst/>
          </c:spPr>
          <c:invertIfNegative val="0"/>
          <c:cat>
            <c:strRef>
              <c:f>'pivot charts'!$A$21:$A$40</c:f>
              <c:strCache>
                <c:ptCount val="19"/>
                <c:pt idx="0">
                  <c:v>Andre Russell</c:v>
                </c:pt>
                <c:pt idx="1">
                  <c:v>David Warner</c:v>
                </c:pt>
                <c:pt idx="2">
                  <c:v>Heinrich Klaasen</c:v>
                </c:pt>
                <c:pt idx="3">
                  <c:v>Jos Buttler</c:v>
                </c:pt>
                <c:pt idx="4">
                  <c:v>KL Rahul</c:v>
                </c:pt>
                <c:pt idx="5">
                  <c:v>Liam Livingstone</c:v>
                </c:pt>
                <c:pt idx="6">
                  <c:v>MS Dhoni</c:v>
                </c:pt>
                <c:pt idx="7">
                  <c:v>Nicholas Pooran</c:v>
                </c:pt>
                <c:pt idx="8">
                  <c:v>Rashid Khan</c:v>
                </c:pt>
                <c:pt idx="9">
                  <c:v>Rishabh Pant</c:v>
                </c:pt>
                <c:pt idx="10">
                  <c:v>Rohit Sharma</c:v>
                </c:pt>
                <c:pt idx="11">
                  <c:v>Ruturaj Gaikwad</c:v>
                </c:pt>
                <c:pt idx="12">
                  <c:v>Sanju Samson</c:v>
                </c:pt>
                <c:pt idx="13">
                  <c:v>Shikhar Dhawan</c:v>
                </c:pt>
                <c:pt idx="14">
                  <c:v>Shubman Gill</c:v>
                </c:pt>
                <c:pt idx="15">
                  <c:v>Sunil Narine</c:v>
                </c:pt>
                <c:pt idx="16">
                  <c:v>Suryakumar Yadav</c:v>
                </c:pt>
                <c:pt idx="17">
                  <c:v>Travis Head</c:v>
                </c:pt>
                <c:pt idx="18">
                  <c:v>Virat Kohli</c:v>
                </c:pt>
              </c:strCache>
            </c:strRef>
          </c:cat>
          <c:val>
            <c:numRef>
              <c:f>'pivot charts'!$B$21:$B$40</c:f>
              <c:numCache>
                <c:formatCode>General</c:formatCode>
                <c:ptCount val="19"/>
                <c:pt idx="0">
                  <c:v>38</c:v>
                </c:pt>
                <c:pt idx="1">
                  <c:v>58</c:v>
                </c:pt>
                <c:pt idx="2">
                  <c:v>83</c:v>
                </c:pt>
                <c:pt idx="3">
                  <c:v>95</c:v>
                </c:pt>
                <c:pt idx="4">
                  <c:v>49</c:v>
                </c:pt>
                <c:pt idx="5">
                  <c:v>44</c:v>
                </c:pt>
                <c:pt idx="6">
                  <c:v>34</c:v>
                </c:pt>
                <c:pt idx="7">
                  <c:v>69</c:v>
                </c:pt>
                <c:pt idx="8">
                  <c:v>21</c:v>
                </c:pt>
                <c:pt idx="9">
                  <c:v>56</c:v>
                </c:pt>
                <c:pt idx="10">
                  <c:v>45</c:v>
                </c:pt>
                <c:pt idx="11">
                  <c:v>67</c:v>
                </c:pt>
                <c:pt idx="12">
                  <c:v>72</c:v>
                </c:pt>
                <c:pt idx="13">
                  <c:v>61</c:v>
                </c:pt>
                <c:pt idx="14">
                  <c:v>88</c:v>
                </c:pt>
                <c:pt idx="15">
                  <c:v>25</c:v>
                </c:pt>
                <c:pt idx="16">
                  <c:v>77</c:v>
                </c:pt>
                <c:pt idx="17">
                  <c:v>91</c:v>
                </c:pt>
                <c:pt idx="18">
                  <c:v>183</c:v>
                </c:pt>
              </c:numCache>
            </c:numRef>
          </c:val>
          <c:extLst>
            <c:ext xmlns:c16="http://schemas.microsoft.com/office/drawing/2014/chart" uri="{C3380CC4-5D6E-409C-BE32-E72D297353CC}">
              <c16:uniqueId val="{00000000-A321-40F5-93CD-593DBC0B9B5F}"/>
            </c:ext>
          </c:extLst>
        </c:ser>
        <c:dLbls>
          <c:showLegendKey val="0"/>
          <c:showVal val="0"/>
          <c:showCatName val="0"/>
          <c:showSerName val="0"/>
          <c:showPercent val="0"/>
          <c:showBubbleSize val="0"/>
        </c:dLbls>
        <c:gapWidth val="219"/>
        <c:overlap val="-27"/>
        <c:axId val="944646479"/>
        <c:axId val="944647919"/>
      </c:barChart>
      <c:catAx>
        <c:axId val="94464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47919"/>
        <c:crosses val="autoZero"/>
        <c:auto val="1"/>
        <c:lblAlgn val="ctr"/>
        <c:lblOffset val="100"/>
        <c:noMultiLvlLbl val="0"/>
      </c:catAx>
      <c:valAx>
        <c:axId val="94464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4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charts'!$N$3</c:f>
              <c:strCache>
                <c:ptCount val="1"/>
                <c:pt idx="0">
                  <c:v>Total</c:v>
                </c:pt>
              </c:strCache>
            </c:strRef>
          </c:tx>
          <c:spPr>
            <a:solidFill>
              <a:schemeClr val="accent1"/>
            </a:solidFill>
            <a:ln>
              <a:noFill/>
            </a:ln>
            <a:effectLst/>
          </c:spPr>
          <c:invertIfNegative val="0"/>
          <c:cat>
            <c:strRef>
              <c:f>'pivot charts'!$M$4:$M$15</c:f>
              <c:strCache>
                <c:ptCount val="11"/>
                <c:pt idx="0">
                  <c:v>Ahmedabad</c:v>
                </c:pt>
                <c:pt idx="1">
                  <c:v>Bangaluru</c:v>
                </c:pt>
                <c:pt idx="2">
                  <c:v>Bengaluru</c:v>
                </c:pt>
                <c:pt idx="3">
                  <c:v>Chennai</c:v>
                </c:pt>
                <c:pt idx="4">
                  <c:v>Delhi</c:v>
                </c:pt>
                <c:pt idx="5">
                  <c:v>Hyderabad</c:v>
                </c:pt>
                <c:pt idx="6">
                  <c:v>Jaipur</c:v>
                </c:pt>
                <c:pt idx="7">
                  <c:v>Kolkata</c:v>
                </c:pt>
                <c:pt idx="8">
                  <c:v>Lucknow</c:v>
                </c:pt>
                <c:pt idx="9">
                  <c:v>Mohali</c:v>
                </c:pt>
                <c:pt idx="10">
                  <c:v>Mumbai</c:v>
                </c:pt>
              </c:strCache>
            </c:strRef>
          </c:cat>
          <c:val>
            <c:numRef>
              <c:f>'pivot charts'!$N$4:$N$15</c:f>
              <c:numCache>
                <c:formatCode>General</c:formatCode>
                <c:ptCount val="11"/>
                <c:pt idx="0">
                  <c:v>307</c:v>
                </c:pt>
                <c:pt idx="1">
                  <c:v>145</c:v>
                </c:pt>
                <c:pt idx="2">
                  <c:v>185</c:v>
                </c:pt>
                <c:pt idx="3">
                  <c:v>350</c:v>
                </c:pt>
                <c:pt idx="4">
                  <c:v>280</c:v>
                </c:pt>
                <c:pt idx="5">
                  <c:v>366</c:v>
                </c:pt>
                <c:pt idx="6">
                  <c:v>330</c:v>
                </c:pt>
                <c:pt idx="7">
                  <c:v>400</c:v>
                </c:pt>
                <c:pt idx="8">
                  <c:v>323</c:v>
                </c:pt>
                <c:pt idx="9">
                  <c:v>300</c:v>
                </c:pt>
                <c:pt idx="10">
                  <c:v>306</c:v>
                </c:pt>
              </c:numCache>
            </c:numRef>
          </c:val>
          <c:extLst>
            <c:ext xmlns:c16="http://schemas.microsoft.com/office/drawing/2014/chart" uri="{C3380CC4-5D6E-409C-BE32-E72D297353CC}">
              <c16:uniqueId val="{00000000-2233-493D-8037-1DBB39776F86}"/>
            </c:ext>
          </c:extLst>
        </c:ser>
        <c:dLbls>
          <c:showLegendKey val="0"/>
          <c:showVal val="0"/>
          <c:showCatName val="0"/>
          <c:showSerName val="0"/>
          <c:showPercent val="0"/>
          <c:showBubbleSize val="0"/>
        </c:dLbls>
        <c:gapWidth val="219"/>
        <c:overlap val="-27"/>
        <c:axId val="761322911"/>
        <c:axId val="761323391"/>
      </c:barChart>
      <c:catAx>
        <c:axId val="76132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3391"/>
        <c:crosses val="autoZero"/>
        <c:auto val="1"/>
        <c:lblAlgn val="ctr"/>
        <c:lblOffset val="100"/>
        <c:noMultiLvlLbl val="0"/>
      </c:catAx>
      <c:valAx>
        <c:axId val="76132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a:t>
            </a:r>
            <a:r>
              <a:rPr lang="en-US" baseline="0"/>
              <a:t> Results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charts'!$T$3</c:f>
              <c:strCache>
                <c:ptCount val="1"/>
                <c:pt idx="0">
                  <c:v>Total</c:v>
                </c:pt>
              </c:strCache>
            </c:strRef>
          </c:tx>
          <c:spPr>
            <a:solidFill>
              <a:schemeClr val="accent1"/>
            </a:solidFill>
            <a:ln>
              <a:noFill/>
            </a:ln>
            <a:effectLst/>
          </c:spPr>
          <c:invertIfNegative val="0"/>
          <c:cat>
            <c:strRef>
              <c:f>'pivot charts'!$S$4:$S$14</c:f>
              <c:strCache>
                <c:ptCount val="10"/>
                <c:pt idx="0">
                  <c:v>CSK</c:v>
                </c:pt>
                <c:pt idx="1">
                  <c:v>DC</c:v>
                </c:pt>
                <c:pt idx="2">
                  <c:v>GT</c:v>
                </c:pt>
                <c:pt idx="3">
                  <c:v>KKR</c:v>
                </c:pt>
                <c:pt idx="4">
                  <c:v>LSG</c:v>
                </c:pt>
                <c:pt idx="5">
                  <c:v>MI</c:v>
                </c:pt>
                <c:pt idx="6">
                  <c:v>PBKS</c:v>
                </c:pt>
                <c:pt idx="7">
                  <c:v>RCB</c:v>
                </c:pt>
                <c:pt idx="8">
                  <c:v>RR</c:v>
                </c:pt>
                <c:pt idx="9">
                  <c:v>SRH</c:v>
                </c:pt>
              </c:strCache>
            </c:strRef>
          </c:cat>
          <c:val>
            <c:numRef>
              <c:f>'pivot charts'!$T$4:$T$14</c:f>
              <c:numCache>
                <c:formatCode>General</c:formatCode>
                <c:ptCount val="10"/>
                <c:pt idx="0">
                  <c:v>2</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B2A1-4988-ADC3-82F8697984EC}"/>
            </c:ext>
          </c:extLst>
        </c:ser>
        <c:dLbls>
          <c:showLegendKey val="0"/>
          <c:showVal val="0"/>
          <c:showCatName val="0"/>
          <c:showSerName val="0"/>
          <c:showPercent val="0"/>
          <c:showBubbleSize val="0"/>
        </c:dLbls>
        <c:gapWidth val="219"/>
        <c:overlap val="-27"/>
        <c:axId val="336448175"/>
        <c:axId val="336445775"/>
      </c:barChart>
      <c:catAx>
        <c:axId val="33644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45775"/>
        <c:crosses val="autoZero"/>
        <c:auto val="1"/>
        <c:lblAlgn val="ctr"/>
        <c:lblOffset val="100"/>
        <c:noMultiLvlLbl val="0"/>
      </c:catAx>
      <c:valAx>
        <c:axId val="33644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4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formating!$E$1</c:f>
              <c:strCache>
                <c:ptCount val="1"/>
                <c:pt idx="0">
                  <c:v>Runs</c:v>
                </c:pt>
              </c:strCache>
            </c:strRef>
          </c:tx>
          <c:spPr>
            <a:solidFill>
              <a:schemeClr val="accent1"/>
            </a:solidFill>
            <a:ln>
              <a:noFill/>
            </a:ln>
            <a:effectLst/>
            <a:sp3d/>
          </c:spPr>
          <c:invertIfNegative val="0"/>
          <c:val>
            <c:numRef>
              <c:f>formating!$E$2:$E$21</c:f>
              <c:numCache>
                <c:formatCode>General</c:formatCode>
                <c:ptCount val="20"/>
                <c:pt idx="0">
                  <c:v>82</c:v>
                </c:pt>
                <c:pt idx="1">
                  <c:v>45</c:v>
                </c:pt>
                <c:pt idx="2">
                  <c:v>67</c:v>
                </c:pt>
                <c:pt idx="3">
                  <c:v>91</c:v>
                </c:pt>
                <c:pt idx="4">
                  <c:v>38</c:v>
                </c:pt>
                <c:pt idx="5">
                  <c:v>72</c:v>
                </c:pt>
                <c:pt idx="6">
                  <c:v>56</c:v>
                </c:pt>
                <c:pt idx="7">
                  <c:v>61</c:v>
                </c:pt>
                <c:pt idx="8">
                  <c:v>88</c:v>
                </c:pt>
                <c:pt idx="9">
                  <c:v>49</c:v>
                </c:pt>
                <c:pt idx="10">
                  <c:v>101</c:v>
                </c:pt>
                <c:pt idx="11">
                  <c:v>34</c:v>
                </c:pt>
                <c:pt idx="12">
                  <c:v>77</c:v>
                </c:pt>
                <c:pt idx="13">
                  <c:v>25</c:v>
                </c:pt>
                <c:pt idx="14">
                  <c:v>95</c:v>
                </c:pt>
                <c:pt idx="15">
                  <c:v>58</c:v>
                </c:pt>
                <c:pt idx="16">
                  <c:v>44</c:v>
                </c:pt>
                <c:pt idx="17">
                  <c:v>83</c:v>
                </c:pt>
                <c:pt idx="18">
                  <c:v>21</c:v>
                </c:pt>
                <c:pt idx="19">
                  <c:v>69</c:v>
                </c:pt>
              </c:numCache>
            </c:numRef>
          </c:val>
          <c:extLst>
            <c:ext xmlns:c16="http://schemas.microsoft.com/office/drawing/2014/chart" uri="{C3380CC4-5D6E-409C-BE32-E72D297353CC}">
              <c16:uniqueId val="{00000000-0837-4AB4-8CB5-E5D82380272C}"/>
            </c:ext>
          </c:extLst>
        </c:ser>
        <c:dLbls>
          <c:showLegendKey val="0"/>
          <c:showVal val="0"/>
          <c:showCatName val="0"/>
          <c:showSerName val="0"/>
          <c:showPercent val="0"/>
          <c:showBubbleSize val="0"/>
        </c:dLbls>
        <c:gapWidth val="150"/>
        <c:shape val="box"/>
        <c:axId val="332369743"/>
        <c:axId val="332380303"/>
        <c:axId val="0"/>
      </c:bar3DChart>
      <c:catAx>
        <c:axId val="3323697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80303"/>
        <c:crosses val="autoZero"/>
        <c:auto val="1"/>
        <c:lblAlgn val="ctr"/>
        <c:lblOffset val="100"/>
        <c:noMultiLvlLbl val="0"/>
      </c:catAx>
      <c:valAx>
        <c:axId val="3323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6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formating!$F$1</c:f>
              <c:strCache>
                <c:ptCount val="1"/>
                <c:pt idx="0">
                  <c:v>Wickets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A0-4E4F-B30F-8FF160F22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A0-4E4F-B30F-8FF160F22B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A0-4E4F-B30F-8FF160F22B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A0-4E4F-B30F-8FF160F22B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A0-4E4F-B30F-8FF160F22B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2A0-4E4F-B30F-8FF160F22B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2A0-4E4F-B30F-8FF160F22B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2A0-4E4F-B30F-8FF160F22B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2A0-4E4F-B30F-8FF160F22B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2A0-4E4F-B30F-8FF160F22BC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2A0-4E4F-B30F-8FF160F22BC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2A0-4E4F-B30F-8FF160F22BC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2A0-4E4F-B30F-8FF160F22BC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2A0-4E4F-B30F-8FF160F22BC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2A0-4E4F-B30F-8FF160F22BC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2A0-4E4F-B30F-8FF160F22BC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2A0-4E4F-B30F-8FF160F22BC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2A0-4E4F-B30F-8FF160F22BC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2A0-4E4F-B30F-8FF160F22BC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2A0-4E4F-B30F-8FF160F22BC1}"/>
              </c:ext>
            </c:extLst>
          </c:dPt>
          <c:val>
            <c:numRef>
              <c:f>formating!$F$2:$F$21</c:f>
              <c:numCache>
                <c:formatCode>General</c:formatCode>
                <c:ptCount val="20"/>
                <c:pt idx="0">
                  <c:v>0</c:v>
                </c:pt>
                <c:pt idx="1">
                  <c:v>0</c:v>
                </c:pt>
                <c:pt idx="2">
                  <c:v>0</c:v>
                </c:pt>
                <c:pt idx="3">
                  <c:v>0</c:v>
                </c:pt>
                <c:pt idx="4">
                  <c:v>3</c:v>
                </c:pt>
                <c:pt idx="5">
                  <c:v>0</c:v>
                </c:pt>
                <c:pt idx="6">
                  <c:v>0</c:v>
                </c:pt>
                <c:pt idx="7">
                  <c:v>0</c:v>
                </c:pt>
                <c:pt idx="8">
                  <c:v>0</c:v>
                </c:pt>
                <c:pt idx="9">
                  <c:v>0</c:v>
                </c:pt>
                <c:pt idx="10">
                  <c:v>0</c:v>
                </c:pt>
                <c:pt idx="11">
                  <c:v>1</c:v>
                </c:pt>
                <c:pt idx="12">
                  <c:v>0</c:v>
                </c:pt>
                <c:pt idx="13">
                  <c:v>4</c:v>
                </c:pt>
                <c:pt idx="14">
                  <c:v>0</c:v>
                </c:pt>
                <c:pt idx="15">
                  <c:v>0</c:v>
                </c:pt>
                <c:pt idx="16">
                  <c:v>2</c:v>
                </c:pt>
                <c:pt idx="17">
                  <c:v>0</c:v>
                </c:pt>
                <c:pt idx="18">
                  <c:v>3</c:v>
                </c:pt>
                <c:pt idx="19">
                  <c:v>0</c:v>
                </c:pt>
              </c:numCache>
            </c:numRef>
          </c:val>
          <c:extLst>
            <c:ext xmlns:c16="http://schemas.microsoft.com/office/drawing/2014/chart" uri="{C3380CC4-5D6E-409C-BE32-E72D297353CC}">
              <c16:uniqueId val="{00000028-72A0-4E4F-B30F-8FF160F22B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formating!$G$1</c:f>
              <c:strCache>
                <c:ptCount val="1"/>
                <c:pt idx="0">
                  <c:v>Strike_Rate</c:v>
                </c:pt>
              </c:strCache>
            </c:strRef>
          </c:tx>
          <c:spPr>
            <a:ln w="28575" cap="rnd">
              <a:solidFill>
                <a:schemeClr val="accent1"/>
              </a:solidFill>
              <a:round/>
            </a:ln>
            <a:effectLst/>
          </c:spPr>
          <c:marker>
            <c:symbol val="none"/>
          </c:marker>
          <c:val>
            <c:numRef>
              <c:f>formating!$G$2:$G$21</c:f>
              <c:numCache>
                <c:formatCode>General</c:formatCode>
                <c:ptCount val="20"/>
                <c:pt idx="0">
                  <c:v>145</c:v>
                </c:pt>
                <c:pt idx="1">
                  <c:v>130</c:v>
                </c:pt>
                <c:pt idx="2">
                  <c:v>150</c:v>
                </c:pt>
                <c:pt idx="3">
                  <c:v>178</c:v>
                </c:pt>
                <c:pt idx="4">
                  <c:v>210</c:v>
                </c:pt>
                <c:pt idx="5">
                  <c:v>160</c:v>
                </c:pt>
                <c:pt idx="6">
                  <c:v>142</c:v>
                </c:pt>
                <c:pt idx="7">
                  <c:v>135</c:v>
                </c:pt>
                <c:pt idx="8">
                  <c:v>152</c:v>
                </c:pt>
                <c:pt idx="9">
                  <c:v>125</c:v>
                </c:pt>
                <c:pt idx="10">
                  <c:v>185</c:v>
                </c:pt>
                <c:pt idx="11">
                  <c:v>200</c:v>
                </c:pt>
                <c:pt idx="12">
                  <c:v>176</c:v>
                </c:pt>
                <c:pt idx="13">
                  <c:v>190</c:v>
                </c:pt>
                <c:pt idx="14">
                  <c:v>170</c:v>
                </c:pt>
                <c:pt idx="15">
                  <c:v>138</c:v>
                </c:pt>
                <c:pt idx="16">
                  <c:v>165</c:v>
                </c:pt>
                <c:pt idx="17">
                  <c:v>188</c:v>
                </c:pt>
                <c:pt idx="18">
                  <c:v>155</c:v>
                </c:pt>
                <c:pt idx="19">
                  <c:v>198</c:v>
                </c:pt>
              </c:numCache>
            </c:numRef>
          </c:val>
          <c:smooth val="0"/>
          <c:extLst>
            <c:ext xmlns:c16="http://schemas.microsoft.com/office/drawing/2014/chart" uri="{C3380CC4-5D6E-409C-BE32-E72D297353CC}">
              <c16:uniqueId val="{00000000-4B3F-466A-B536-A2EF4CE7794F}"/>
            </c:ext>
          </c:extLst>
        </c:ser>
        <c:dLbls>
          <c:showLegendKey val="0"/>
          <c:showVal val="0"/>
          <c:showCatName val="0"/>
          <c:showSerName val="0"/>
          <c:showPercent val="0"/>
          <c:showBubbleSize val="0"/>
        </c:dLbls>
        <c:smooth val="0"/>
        <c:axId val="1211901087"/>
        <c:axId val="1211901567"/>
      </c:lineChart>
      <c:catAx>
        <c:axId val="12119010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01567"/>
        <c:crosses val="autoZero"/>
        <c:auto val="1"/>
        <c:lblAlgn val="ctr"/>
        <c:lblOffset val="100"/>
        <c:noMultiLvlLbl val="0"/>
      </c:catAx>
      <c:valAx>
        <c:axId val="121190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0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541020</xdr:colOff>
      <xdr:row>0</xdr:row>
      <xdr:rowOff>179070</xdr:rowOff>
    </xdr:from>
    <xdr:to>
      <xdr:col>10</xdr:col>
      <xdr:colOff>236220</xdr:colOff>
      <xdr:row>15</xdr:row>
      <xdr:rowOff>179070</xdr:rowOff>
    </xdr:to>
    <xdr:graphicFrame macro="">
      <xdr:nvGraphicFramePr>
        <xdr:cNvPr id="2" name="Chart 1">
          <a:extLst>
            <a:ext uri="{FF2B5EF4-FFF2-40B4-BE49-F238E27FC236}">
              <a16:creationId xmlns:a16="http://schemas.microsoft.com/office/drawing/2014/main" id="{9F10A239-2E05-DC3E-5690-10DE47928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19</xdr:row>
      <xdr:rowOff>57150</xdr:rowOff>
    </xdr:from>
    <xdr:to>
      <xdr:col>10</xdr:col>
      <xdr:colOff>358140</xdr:colOff>
      <xdr:row>34</xdr:row>
      <xdr:rowOff>57150</xdr:rowOff>
    </xdr:to>
    <xdr:graphicFrame macro="">
      <xdr:nvGraphicFramePr>
        <xdr:cNvPr id="3" name="Chart 2">
          <a:extLst>
            <a:ext uri="{FF2B5EF4-FFF2-40B4-BE49-F238E27FC236}">
              <a16:creationId xmlns:a16="http://schemas.microsoft.com/office/drawing/2014/main" id="{DCFE8ACE-83A8-A707-75FC-8A8D967E2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594360</xdr:colOff>
      <xdr:row>17</xdr:row>
      <xdr:rowOff>30480</xdr:rowOff>
    </xdr:from>
    <xdr:to>
      <xdr:col>17</xdr:col>
      <xdr:colOff>190500</xdr:colOff>
      <xdr:row>30</xdr:row>
      <xdr:rowOff>80010</xdr:rowOff>
    </xdr:to>
    <xdr:graphicFrame macro="">
      <xdr:nvGraphicFramePr>
        <xdr:cNvPr id="4" name="Chart 3">
          <a:extLst>
            <a:ext uri="{FF2B5EF4-FFF2-40B4-BE49-F238E27FC236}">
              <a16:creationId xmlns:a16="http://schemas.microsoft.com/office/drawing/2014/main" id="{FC07C01E-712D-BBC5-7D59-83AC676C6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548640</xdr:colOff>
      <xdr:row>15</xdr:row>
      <xdr:rowOff>41910</xdr:rowOff>
    </xdr:from>
    <xdr:to>
      <xdr:col>25</xdr:col>
      <xdr:colOff>0</xdr:colOff>
      <xdr:row>30</xdr:row>
      <xdr:rowOff>41910</xdr:rowOff>
    </xdr:to>
    <xdr:graphicFrame macro="">
      <xdr:nvGraphicFramePr>
        <xdr:cNvPr id="5" name="Chart 4">
          <a:extLst>
            <a:ext uri="{FF2B5EF4-FFF2-40B4-BE49-F238E27FC236}">
              <a16:creationId xmlns:a16="http://schemas.microsoft.com/office/drawing/2014/main" id="{6F9B7497-3702-535C-93CE-350DCA931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590628</xdr:colOff>
      <xdr:row>38</xdr:row>
      <xdr:rowOff>80244</xdr:rowOff>
    </xdr:from>
    <xdr:to>
      <xdr:col>13</xdr:col>
      <xdr:colOff>459999</xdr:colOff>
      <xdr:row>51</xdr:row>
      <xdr:rowOff>121260</xdr:rowOff>
    </xdr:to>
    <mc:AlternateContent xmlns:mc="http://schemas.openxmlformats.org/markup-compatibility/2006">
      <mc:Choice xmlns:a14="http://schemas.microsoft.com/office/drawing/2010/main" Requires="a14">
        <xdr:graphicFrame macro="">
          <xdr:nvGraphicFramePr>
            <xdr:cNvPr id="7" name="Team">
              <a:extLst>
                <a:ext uri="{FF2B5EF4-FFF2-40B4-BE49-F238E27FC236}">
                  <a16:creationId xmlns:a16="http://schemas.microsoft.com/office/drawing/2014/main" id="{068A8E99-911C-37D1-6173-B38E3D760A85}"/>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8552750" y="71715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324239</xdr:colOff>
      <xdr:row>39</xdr:row>
      <xdr:rowOff>467</xdr:rowOff>
    </xdr:from>
    <xdr:to>
      <xdr:col>17</xdr:col>
      <xdr:colOff>333569</xdr:colOff>
      <xdr:row>52</xdr:row>
      <xdr:rowOff>41483</xdr:rowOff>
    </xdr:to>
    <mc:AlternateContent xmlns:mc="http://schemas.openxmlformats.org/markup-compatibility/2006">
      <mc:Choice xmlns:a14="http://schemas.microsoft.com/office/drawing/2010/main" Requires="a14">
        <xdr:graphicFrame macro="">
          <xdr:nvGraphicFramePr>
            <xdr:cNvPr id="8" name="Venue">
              <a:extLst>
                <a:ext uri="{FF2B5EF4-FFF2-40B4-BE49-F238E27FC236}">
                  <a16:creationId xmlns:a16="http://schemas.microsoft.com/office/drawing/2014/main" id="{67FBAC97-3C2B-35A6-53E5-5CF936F6EDAF}"/>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11956402" y="72783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415523</xdr:colOff>
      <xdr:row>39</xdr:row>
      <xdr:rowOff>122853</xdr:rowOff>
    </xdr:from>
    <xdr:to>
      <xdr:col>20</xdr:col>
      <xdr:colOff>424853</xdr:colOff>
      <xdr:row>52</xdr:row>
      <xdr:rowOff>163869</xdr:rowOff>
    </xdr:to>
    <mc:AlternateContent xmlns:mc="http://schemas.openxmlformats.org/markup-compatibility/2006">
      <mc:Choice xmlns:a14="http://schemas.microsoft.com/office/drawing/2010/main" Requires="a14">
        <xdr:graphicFrame macro="">
          <xdr:nvGraphicFramePr>
            <xdr:cNvPr id="9" name="Result">
              <a:extLst>
                <a:ext uri="{FF2B5EF4-FFF2-40B4-BE49-F238E27FC236}">
                  <a16:creationId xmlns:a16="http://schemas.microsoft.com/office/drawing/2014/main" id="{C9AA69E6-CDE1-0F11-8C3C-72F0155CF19E}"/>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14473645" y="740073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487680</xdr:colOff>
      <xdr:row>1</xdr:row>
      <xdr:rowOff>0</xdr:rowOff>
    </xdr:from>
    <xdr:to>
      <xdr:col>7</xdr:col>
      <xdr:colOff>304800</xdr:colOff>
      <xdr:row>16</xdr:row>
      <xdr:rowOff>0</xdr:rowOff>
    </xdr:to>
    <xdr:graphicFrame macro="">
      <xdr:nvGraphicFramePr>
        <xdr:cNvPr id="2" name="Chart 1">
          <a:extLst>
            <a:ext uri="{FF2B5EF4-FFF2-40B4-BE49-F238E27FC236}">
              <a16:creationId xmlns:a16="http://schemas.microsoft.com/office/drawing/2014/main" id="{D4D28476-FF6D-4831-978B-1C4C72FE7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0</xdr:rowOff>
    </xdr:from>
    <xdr:to>
      <xdr:col>6</xdr:col>
      <xdr:colOff>495300</xdr:colOff>
      <xdr:row>35</xdr:row>
      <xdr:rowOff>0</xdr:rowOff>
    </xdr:to>
    <xdr:graphicFrame macro="">
      <xdr:nvGraphicFramePr>
        <xdr:cNvPr id="3" name="Chart 2">
          <a:extLst>
            <a:ext uri="{FF2B5EF4-FFF2-40B4-BE49-F238E27FC236}">
              <a16:creationId xmlns:a16="http://schemas.microsoft.com/office/drawing/2014/main" id="{AC395A0B-B504-42C0-B7C3-2DAA3CE6D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xdr:row>
      <xdr:rowOff>0</xdr:rowOff>
    </xdr:from>
    <xdr:to>
      <xdr:col>16</xdr:col>
      <xdr:colOff>304800</xdr:colOff>
      <xdr:row>16</xdr:row>
      <xdr:rowOff>0</xdr:rowOff>
    </xdr:to>
    <xdr:graphicFrame macro="">
      <xdr:nvGraphicFramePr>
        <xdr:cNvPr id="4" name="Chart 3">
          <a:extLst>
            <a:ext uri="{FF2B5EF4-FFF2-40B4-BE49-F238E27FC236}">
              <a16:creationId xmlns:a16="http://schemas.microsoft.com/office/drawing/2014/main" id="{5F5DE781-A006-40F6-9ED3-FB097EE97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UNA" refreshedDate="46170.516284953701" createdVersion="8" refreshedVersion="8" minRefreshableVersion="3" recordCount="20" xr:uid="{E013FD95-F033-484D-9916-2C76426D19AA}">
  <cacheSource type="worksheet">
    <worksheetSource ref="A1:J21" sheet="formating"/>
  </cacheSource>
  <cacheFields count="10">
    <cacheField name="Match_ID" numFmtId="0">
      <sharedItems containsSemiMixedTypes="0" containsString="0" containsNumber="1" containsInteger="1" minValue="101" maxValue="120"/>
    </cacheField>
    <cacheField name="Team" numFmtId="0">
      <sharedItems count="10">
        <s v="RCB"/>
        <s v="MI"/>
        <s v="CSK"/>
        <s v="SRH"/>
        <s v="KKR"/>
        <s v="RR"/>
        <s v="DC"/>
        <s v="PBKS"/>
        <s v="GT"/>
        <s v="LSG"/>
      </sharedItems>
    </cacheField>
    <cacheField name="Opponent" numFmtId="0">
      <sharedItems/>
    </cacheField>
    <cacheField name="Player" numFmtId="0">
      <sharedItems count="19">
        <s v="Virat Kohli"/>
        <s v="Rohit Sharma"/>
        <s v="Ruturaj Gaikwad"/>
        <s v="Travis Head"/>
        <s v="Andre Russell"/>
        <s v="Sanju Samson"/>
        <s v="Rishabh Pant"/>
        <s v="Shikhar Dhawan"/>
        <s v="Shubman Gill"/>
        <s v="KL Rahul"/>
        <s v="MS Dhoni"/>
        <s v="Suryakumar Yadav"/>
        <s v="Sunil Narine"/>
        <s v="Jos Buttler"/>
        <s v="David Warner"/>
        <s v="Liam Livingstone"/>
        <s v="Heinrich Klaasen"/>
        <s v="Rashid Khan"/>
        <s v="Nicholas Pooran"/>
      </sharedItems>
    </cacheField>
    <cacheField name="Runs" numFmtId="0">
      <sharedItems containsSemiMixedTypes="0" containsString="0" containsNumber="1" containsInteger="1" minValue="21" maxValue="101"/>
    </cacheField>
    <cacheField name="Wickets" numFmtId="0">
      <sharedItems containsSemiMixedTypes="0" containsString="0" containsNumber="1" containsInteger="1" minValue="0" maxValue="4"/>
    </cacheField>
    <cacheField name="Strike_Rate" numFmtId="0">
      <sharedItems containsSemiMixedTypes="0" containsString="0" containsNumber="1" containsInteger="1" minValue="125" maxValue="210" count="20">
        <n v="145"/>
        <n v="130"/>
        <n v="150"/>
        <n v="178"/>
        <n v="210"/>
        <n v="160"/>
        <n v="142"/>
        <n v="135"/>
        <n v="152"/>
        <n v="125"/>
        <n v="185"/>
        <n v="200"/>
        <n v="176"/>
        <n v="190"/>
        <n v="170"/>
        <n v="138"/>
        <n v="165"/>
        <n v="188"/>
        <n v="155"/>
        <n v="198"/>
      </sharedItems>
    </cacheField>
    <cacheField name="Venue" numFmtId="0">
      <sharedItems count="11">
        <s v="Bangaluru"/>
        <s v="Mumbai"/>
        <s v="Chennai"/>
        <s v="Hyderabad"/>
        <s v="Kolkata"/>
        <s v="Jaipur"/>
        <s v="Delhi"/>
        <s v="Mohali"/>
        <s v="Ahmedabad"/>
        <s v="Lucknow"/>
        <s v="Bengaluru"/>
      </sharedItems>
    </cacheField>
    <cacheField name="Result" numFmtId="0">
      <sharedItems count="2">
        <s v="Win"/>
        <s v="Loss"/>
      </sharedItems>
    </cacheField>
    <cacheField name="performance" numFmtId="0">
      <sharedItems/>
    </cacheField>
  </cacheFields>
  <extLst>
    <ext xmlns:x14="http://schemas.microsoft.com/office/spreadsheetml/2009/9/main" uri="{725AE2AE-9491-48be-B2B4-4EB974FC3084}">
      <x14:pivotCacheDefinition pivotCacheId="515813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x v="0"/>
    <s v="CSK"/>
    <x v="0"/>
    <n v="82"/>
    <n v="0"/>
    <x v="0"/>
    <x v="0"/>
    <x v="0"/>
    <s v="Excellent"/>
  </r>
  <r>
    <n v="102"/>
    <x v="1"/>
    <s v="KKR"/>
    <x v="1"/>
    <n v="45"/>
    <n v="0"/>
    <x v="1"/>
    <x v="1"/>
    <x v="1"/>
    <s v="Average"/>
  </r>
  <r>
    <n v="103"/>
    <x v="2"/>
    <s v="RCB"/>
    <x v="2"/>
    <n v="67"/>
    <n v="0"/>
    <x v="2"/>
    <x v="2"/>
    <x v="1"/>
    <s v="Good"/>
  </r>
  <r>
    <n v="104"/>
    <x v="3"/>
    <s v="MI"/>
    <x v="3"/>
    <n v="91"/>
    <n v="0"/>
    <x v="3"/>
    <x v="3"/>
    <x v="0"/>
    <s v="Excellent"/>
  </r>
  <r>
    <n v="105"/>
    <x v="4"/>
    <s v="RR"/>
    <x v="4"/>
    <n v="38"/>
    <n v="3"/>
    <x v="4"/>
    <x v="4"/>
    <x v="0"/>
    <s v="Average"/>
  </r>
  <r>
    <n v="106"/>
    <x v="5"/>
    <s v="KKR"/>
    <x v="5"/>
    <n v="72"/>
    <n v="0"/>
    <x v="5"/>
    <x v="5"/>
    <x v="1"/>
    <s v="Good"/>
  </r>
  <r>
    <n v="107"/>
    <x v="6"/>
    <s v="PBKS"/>
    <x v="6"/>
    <n v="56"/>
    <n v="0"/>
    <x v="6"/>
    <x v="6"/>
    <x v="0"/>
    <s v="Good"/>
  </r>
  <r>
    <n v="108"/>
    <x v="7"/>
    <s v="DC"/>
    <x v="7"/>
    <n v="61"/>
    <n v="0"/>
    <x v="7"/>
    <x v="7"/>
    <x v="1"/>
    <s v="Good"/>
  </r>
  <r>
    <n v="109"/>
    <x v="8"/>
    <s v="LSG"/>
    <x v="8"/>
    <n v="88"/>
    <n v="0"/>
    <x v="8"/>
    <x v="8"/>
    <x v="0"/>
    <s v="Excellent"/>
  </r>
  <r>
    <n v="110"/>
    <x v="9"/>
    <s v="GT"/>
    <x v="9"/>
    <n v="49"/>
    <n v="0"/>
    <x v="9"/>
    <x v="9"/>
    <x v="1"/>
    <s v="Average"/>
  </r>
  <r>
    <n v="111"/>
    <x v="0"/>
    <s v="MI"/>
    <x v="0"/>
    <n v="101"/>
    <n v="0"/>
    <x v="10"/>
    <x v="10"/>
    <x v="0"/>
    <s v="Excellent"/>
  </r>
  <r>
    <n v="112"/>
    <x v="2"/>
    <s v="SRH"/>
    <x v="10"/>
    <n v="34"/>
    <n v="1"/>
    <x v="11"/>
    <x v="2"/>
    <x v="0"/>
    <s v="Average"/>
  </r>
  <r>
    <n v="113"/>
    <x v="1"/>
    <s v="RR"/>
    <x v="11"/>
    <n v="77"/>
    <n v="0"/>
    <x v="12"/>
    <x v="1"/>
    <x v="0"/>
    <s v="Excellent"/>
  </r>
  <r>
    <n v="114"/>
    <x v="4"/>
    <s v="CSK"/>
    <x v="12"/>
    <n v="25"/>
    <n v="4"/>
    <x v="13"/>
    <x v="4"/>
    <x v="0"/>
    <s v="Average"/>
  </r>
  <r>
    <n v="115"/>
    <x v="5"/>
    <s v="RCB"/>
    <x v="13"/>
    <n v="95"/>
    <n v="0"/>
    <x v="14"/>
    <x v="5"/>
    <x v="0"/>
    <s v="Excellent"/>
  </r>
  <r>
    <n v="116"/>
    <x v="6"/>
    <s v="MI"/>
    <x v="14"/>
    <n v="58"/>
    <n v="0"/>
    <x v="15"/>
    <x v="6"/>
    <x v="1"/>
    <s v="Good"/>
  </r>
  <r>
    <n v="117"/>
    <x v="7"/>
    <s v="GT"/>
    <x v="15"/>
    <n v="44"/>
    <n v="2"/>
    <x v="16"/>
    <x v="7"/>
    <x v="0"/>
    <s v="Average"/>
  </r>
  <r>
    <n v="118"/>
    <x v="3"/>
    <s v="LSG"/>
    <x v="16"/>
    <n v="83"/>
    <n v="0"/>
    <x v="17"/>
    <x v="3"/>
    <x v="0"/>
    <s v="Excellent"/>
  </r>
  <r>
    <n v="119"/>
    <x v="8"/>
    <s v="CSK"/>
    <x v="17"/>
    <n v="21"/>
    <n v="3"/>
    <x v="18"/>
    <x v="8"/>
    <x v="1"/>
    <s v="Average"/>
  </r>
  <r>
    <n v="120"/>
    <x v="9"/>
    <s v="RR"/>
    <x v="18"/>
    <n v="69"/>
    <n v="0"/>
    <x v="19"/>
    <x v="9"/>
    <x v="0"/>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2059D-6BF2-4312-9180-39DC517982A0}"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3:T14" firstHeaderRow="1" firstDataRow="1" firstDataCol="1"/>
  <pivotFields count="10">
    <pivotField showAll="0"/>
    <pivotField axis="axisRow" showAll="0">
      <items count="11">
        <item x="2"/>
        <item x="6"/>
        <item x="8"/>
        <item x="4"/>
        <item x="9"/>
        <item x="1"/>
        <item x="7"/>
        <item x="0"/>
        <item x="5"/>
        <item x="3"/>
        <item t="default"/>
      </items>
    </pivotField>
    <pivotField showAll="0"/>
    <pivotField showAll="0"/>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Count of Result"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4ECD57-BB8D-46BD-B137-21E7883CE979}"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N15" firstHeaderRow="1" firstDataRow="1" firstDataCol="1"/>
  <pivotFields count="10">
    <pivotField showAll="0"/>
    <pivotField showAll="0">
      <items count="11">
        <item x="2"/>
        <item x="6"/>
        <item x="8"/>
        <item x="4"/>
        <item x="9"/>
        <item x="1"/>
        <item x="7"/>
        <item x="0"/>
        <item x="5"/>
        <item x="3"/>
        <item t="default"/>
      </items>
    </pivotField>
    <pivotField showAll="0"/>
    <pivotField showAll="0"/>
    <pivotField showAll="0"/>
    <pivotField showAll="0"/>
    <pivotField dataField="1" showAll="0">
      <items count="21">
        <item x="9"/>
        <item x="1"/>
        <item x="7"/>
        <item x="15"/>
        <item x="6"/>
        <item x="0"/>
        <item x="2"/>
        <item x="8"/>
        <item x="18"/>
        <item x="5"/>
        <item x="16"/>
        <item x="14"/>
        <item x="12"/>
        <item x="3"/>
        <item x="10"/>
        <item x="17"/>
        <item x="13"/>
        <item x="19"/>
        <item x="11"/>
        <item x="4"/>
        <item t="default"/>
      </items>
    </pivotField>
    <pivotField axis="axisRow" showAll="0">
      <items count="12">
        <item x="8"/>
        <item x="0"/>
        <item x="10"/>
        <item x="2"/>
        <item x="6"/>
        <item x="3"/>
        <item x="5"/>
        <item x="4"/>
        <item x="9"/>
        <item x="7"/>
        <item x="1"/>
        <item t="default"/>
      </items>
    </pivotField>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Strike_Rat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723D3-3A9F-47C2-952C-E2BEF04EA6CA}"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B40" firstHeaderRow="1" firstDataRow="1" firstDataCol="1"/>
  <pivotFields count="10">
    <pivotField showAll="0"/>
    <pivotField showAll="0">
      <items count="11">
        <item x="2"/>
        <item x="6"/>
        <item x="8"/>
        <item x="4"/>
        <item x="9"/>
        <item x="1"/>
        <item x="7"/>
        <item x="0"/>
        <item x="5"/>
        <item x="3"/>
        <item t="default"/>
      </items>
    </pivotField>
    <pivotField showAll="0"/>
    <pivotField axis="axisRow" showAll="0">
      <items count="20">
        <item x="4"/>
        <item x="14"/>
        <item x="16"/>
        <item x="13"/>
        <item x="9"/>
        <item x="15"/>
        <item x="10"/>
        <item x="18"/>
        <item x="17"/>
        <item x="6"/>
        <item x="1"/>
        <item x="2"/>
        <item x="5"/>
        <item x="7"/>
        <item x="8"/>
        <item x="12"/>
        <item x="11"/>
        <item x="3"/>
        <item x="0"/>
        <item t="default"/>
      </items>
    </pivotField>
    <pivotField dataField="1" showAll="0"/>
    <pivotField showAll="0"/>
    <pivotField showAll="0"/>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Run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27574A-BE1D-4722-95AE-0F6C5857991B}"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3" firstHeaderRow="1" firstDataRow="1" firstDataCol="1"/>
  <pivotFields count="10">
    <pivotField showAll="0"/>
    <pivotField axis="axisRow" showAll="0">
      <items count="11">
        <item x="2"/>
        <item x="6"/>
        <item x="8"/>
        <item x="4"/>
        <item x="9"/>
        <item x="1"/>
        <item x="7"/>
        <item x="0"/>
        <item x="5"/>
        <item x="3"/>
        <item t="default"/>
      </items>
    </pivotField>
    <pivotField showAll="0"/>
    <pivotField showAll="0"/>
    <pivotField dataField="1" showAll="0"/>
    <pivotField showAll="0"/>
    <pivotField showAll="0"/>
    <pivotField showAll="0">
      <items count="12">
        <item x="8"/>
        <item x="0"/>
        <item x="10"/>
        <item x="2"/>
        <item x="6"/>
        <item x="3"/>
        <item x="5"/>
        <item x="4"/>
        <item x="9"/>
        <item x="7"/>
        <item x="1"/>
        <item t="default"/>
      </items>
    </pivotField>
    <pivotField showAll="0">
      <items count="3">
        <item x="1"/>
        <item x="0"/>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Run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BAB07AAD-E81D-43E5-984B-D6D9DCDB5562}" sourceName="Team">
  <pivotTables>
    <pivotTable tabId="3" name="PivotTable1"/>
    <pivotTable tabId="3" name="PivotTable2"/>
    <pivotTable tabId="3" name="PivotTable3"/>
  </pivotTables>
  <data>
    <tabular pivotCacheId="515813186">
      <items count="10">
        <i x="2" s="1"/>
        <i x="6" s="1"/>
        <i x="8" s="1"/>
        <i x="4" s="1"/>
        <i x="9" s="1"/>
        <i x="1" s="1"/>
        <i x="7"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1D63CC67-0A35-4698-96B5-09F9557E593F}" sourceName="Venue">
  <pivotTables>
    <pivotTable tabId="3" name="PivotTable1"/>
  </pivotTables>
  <data>
    <tabular pivotCacheId="515813186">
      <items count="11">
        <i x="8" s="1"/>
        <i x="0" s="1"/>
        <i x="10" s="1"/>
        <i x="2" s="1"/>
        <i x="6" s="1"/>
        <i x="3" s="1"/>
        <i x="5" s="1"/>
        <i x="4" s="1"/>
        <i x="9"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7173BFAC-1AEC-40A7-9011-827295661A3C}" sourceName="Result">
  <pivotTables>
    <pivotTable tabId="3" name="PivotTable1"/>
  </pivotTables>
  <data>
    <tabular pivotCacheId="5158131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C69D76F1-590C-4C3D-A36E-38BE2CB33151}" cache="Slicer_Team" caption="Team" style="SlicerStyleLight2" rowHeight="234950"/>
  <slicer name="Venue" xr10:uid="{576BAF48-255E-4BFF-A35F-437B6DE61B2D}" cache="Slicer_Venue" caption="Venue" style="SlicerStyleLight6" rowHeight="234950"/>
  <slicer name="Result" xr10:uid="{FA340A30-5E32-4024-8BCC-AE22F1965749}" cache="Slicer_Result" caption="Result"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A7A34-35F6-4F65-B7A7-BB4DA0B1D971}">
  <dimension ref="A1:I21"/>
  <sheetViews>
    <sheetView tabSelected="1" workbookViewId="0">
      <selection activeCell="D9" sqref="D9"/>
    </sheetView>
  </sheetViews>
  <sheetFormatPr defaultRowHeight="14.4" x14ac:dyDescent="0.3"/>
  <cols>
    <col min="1" max="1" width="15.77734375" customWidth="1"/>
    <col min="2" max="2" width="12.6640625" customWidth="1"/>
    <col min="3" max="3" width="13" customWidth="1"/>
    <col min="4" max="4" width="18" customWidth="1"/>
    <col min="5" max="5" width="14.5546875" customWidth="1"/>
    <col min="6" max="6" width="12.6640625" customWidth="1"/>
    <col min="7" max="7" width="13.33203125" customWidth="1"/>
    <col min="8" max="8" width="13.6640625" customWidth="1"/>
    <col min="9" max="9" width="19.109375" customWidth="1"/>
  </cols>
  <sheetData>
    <row r="1" spans="1:9" ht="28.8" x14ac:dyDescent="0.3">
      <c r="A1" s="1" t="s">
        <v>0</v>
      </c>
      <c r="B1" s="1" t="s">
        <v>1</v>
      </c>
      <c r="C1" s="1" t="s">
        <v>2</v>
      </c>
      <c r="D1" s="1" t="s">
        <v>3</v>
      </c>
      <c r="E1" s="1" t="s">
        <v>4</v>
      </c>
      <c r="F1" s="1" t="s">
        <v>5</v>
      </c>
      <c r="G1" s="1" t="s">
        <v>6</v>
      </c>
      <c r="H1" s="1" t="s">
        <v>7</v>
      </c>
      <c r="I1" s="1" t="s">
        <v>8</v>
      </c>
    </row>
    <row r="2" spans="1:9" ht="28.8" x14ac:dyDescent="0.3">
      <c r="A2" s="2">
        <v>101</v>
      </c>
      <c r="B2" s="2" t="s">
        <v>9</v>
      </c>
      <c r="C2" s="2" t="s">
        <v>10</v>
      </c>
      <c r="D2" s="2" t="s">
        <v>11</v>
      </c>
      <c r="E2" s="2">
        <v>82</v>
      </c>
      <c r="F2" s="2">
        <v>0</v>
      </c>
      <c r="G2" s="2">
        <v>145</v>
      </c>
      <c r="H2" s="2" t="s">
        <v>12</v>
      </c>
      <c r="I2" s="2" t="s">
        <v>13</v>
      </c>
    </row>
    <row r="3" spans="1:9" ht="28.8" x14ac:dyDescent="0.3">
      <c r="A3" s="2">
        <v>102</v>
      </c>
      <c r="B3" s="2" t="s">
        <v>14</v>
      </c>
      <c r="C3" s="2" t="s">
        <v>15</v>
      </c>
      <c r="D3" s="2" t="s">
        <v>16</v>
      </c>
      <c r="E3" s="2">
        <v>45</v>
      </c>
      <c r="F3" s="2">
        <v>0</v>
      </c>
      <c r="G3" s="2">
        <v>130</v>
      </c>
      <c r="H3" s="2" t="s">
        <v>17</v>
      </c>
      <c r="I3" s="2" t="s">
        <v>18</v>
      </c>
    </row>
    <row r="4" spans="1:9" ht="28.8" x14ac:dyDescent="0.3">
      <c r="A4" s="2">
        <v>103</v>
      </c>
      <c r="B4" s="2" t="s">
        <v>10</v>
      </c>
      <c r="C4" s="2" t="s">
        <v>9</v>
      </c>
      <c r="D4" s="2" t="s">
        <v>19</v>
      </c>
      <c r="E4" s="2">
        <v>67</v>
      </c>
      <c r="F4" s="2">
        <v>0</v>
      </c>
      <c r="G4" s="2">
        <v>150</v>
      </c>
      <c r="H4" s="2" t="s">
        <v>20</v>
      </c>
      <c r="I4" s="2" t="s">
        <v>18</v>
      </c>
    </row>
    <row r="5" spans="1:9" ht="28.8" x14ac:dyDescent="0.3">
      <c r="A5" s="2">
        <v>104</v>
      </c>
      <c r="B5" s="2" t="s">
        <v>21</v>
      </c>
      <c r="C5" s="2" t="s">
        <v>14</v>
      </c>
      <c r="D5" s="2" t="s">
        <v>22</v>
      </c>
      <c r="E5" s="2">
        <v>91</v>
      </c>
      <c r="F5" s="2">
        <v>0</v>
      </c>
      <c r="G5" s="2">
        <v>178</v>
      </c>
      <c r="H5" s="2" t="s">
        <v>23</v>
      </c>
      <c r="I5" s="2" t="s">
        <v>13</v>
      </c>
    </row>
    <row r="6" spans="1:9" ht="28.8" x14ac:dyDescent="0.3">
      <c r="A6" s="2">
        <v>105</v>
      </c>
      <c r="B6" s="2" t="s">
        <v>15</v>
      </c>
      <c r="C6" s="2" t="s">
        <v>24</v>
      </c>
      <c r="D6" s="2" t="s">
        <v>25</v>
      </c>
      <c r="E6" s="2">
        <v>38</v>
      </c>
      <c r="F6" s="2">
        <v>3</v>
      </c>
      <c r="G6" s="2">
        <v>210</v>
      </c>
      <c r="H6" s="2" t="s">
        <v>26</v>
      </c>
      <c r="I6" s="2" t="s">
        <v>13</v>
      </c>
    </row>
    <row r="7" spans="1:9" ht="28.8" x14ac:dyDescent="0.3">
      <c r="A7" s="2">
        <v>106</v>
      </c>
      <c r="B7" s="2" t="s">
        <v>24</v>
      </c>
      <c r="C7" s="2" t="s">
        <v>15</v>
      </c>
      <c r="D7" s="2" t="s">
        <v>27</v>
      </c>
      <c r="E7" s="2">
        <v>72</v>
      </c>
      <c r="F7" s="2">
        <v>0</v>
      </c>
      <c r="G7" s="2">
        <v>160</v>
      </c>
      <c r="H7" s="2" t="s">
        <v>28</v>
      </c>
      <c r="I7" s="2" t="s">
        <v>18</v>
      </c>
    </row>
    <row r="8" spans="1:9" ht="28.8" x14ac:dyDescent="0.3">
      <c r="A8" s="2">
        <v>107</v>
      </c>
      <c r="B8" s="2" t="s">
        <v>29</v>
      </c>
      <c r="C8" s="2" t="s">
        <v>30</v>
      </c>
      <c r="D8" s="2" t="s">
        <v>31</v>
      </c>
      <c r="E8" s="2">
        <v>56</v>
      </c>
      <c r="F8" s="2">
        <v>0</v>
      </c>
      <c r="G8" s="2">
        <v>142</v>
      </c>
      <c r="H8" s="2" t="s">
        <v>32</v>
      </c>
      <c r="I8" s="2" t="s">
        <v>13</v>
      </c>
    </row>
    <row r="9" spans="1:9" ht="28.8" x14ac:dyDescent="0.3">
      <c r="A9" s="2">
        <v>108</v>
      </c>
      <c r="B9" s="2" t="s">
        <v>30</v>
      </c>
      <c r="C9" s="2" t="s">
        <v>29</v>
      </c>
      <c r="D9" s="2" t="s">
        <v>33</v>
      </c>
      <c r="E9" s="2">
        <v>61</v>
      </c>
      <c r="F9" s="2">
        <v>0</v>
      </c>
      <c r="G9" s="2">
        <v>135</v>
      </c>
      <c r="H9" s="2" t="s">
        <v>34</v>
      </c>
      <c r="I9" s="2" t="s">
        <v>18</v>
      </c>
    </row>
    <row r="10" spans="1:9" ht="28.8" x14ac:dyDescent="0.3">
      <c r="A10" s="2">
        <v>109</v>
      </c>
      <c r="B10" s="2" t="s">
        <v>35</v>
      </c>
      <c r="C10" s="2" t="s">
        <v>36</v>
      </c>
      <c r="D10" s="2" t="s">
        <v>37</v>
      </c>
      <c r="E10" s="2">
        <v>88</v>
      </c>
      <c r="F10" s="2">
        <v>0</v>
      </c>
      <c r="G10" s="2">
        <v>152</v>
      </c>
      <c r="H10" s="2" t="s">
        <v>38</v>
      </c>
      <c r="I10" s="2" t="s">
        <v>13</v>
      </c>
    </row>
    <row r="11" spans="1:9" x14ac:dyDescent="0.3">
      <c r="A11" s="2">
        <v>110</v>
      </c>
      <c r="B11" s="2" t="s">
        <v>36</v>
      </c>
      <c r="C11" s="2" t="s">
        <v>35</v>
      </c>
      <c r="D11" s="2" t="s">
        <v>39</v>
      </c>
      <c r="E11" s="2">
        <v>49</v>
      </c>
      <c r="F11" s="2">
        <v>0</v>
      </c>
      <c r="G11" s="2">
        <v>125</v>
      </c>
      <c r="H11" s="2" t="s">
        <v>40</v>
      </c>
      <c r="I11" s="2" t="s">
        <v>18</v>
      </c>
    </row>
    <row r="12" spans="1:9" ht="28.8" x14ac:dyDescent="0.3">
      <c r="A12" s="2">
        <v>111</v>
      </c>
      <c r="B12" s="2" t="s">
        <v>9</v>
      </c>
      <c r="C12" s="2" t="s">
        <v>14</v>
      </c>
      <c r="D12" s="2" t="s">
        <v>11</v>
      </c>
      <c r="E12" s="2">
        <v>101</v>
      </c>
      <c r="F12" s="2">
        <v>0</v>
      </c>
      <c r="G12" s="2">
        <v>185</v>
      </c>
      <c r="H12" s="2" t="s">
        <v>41</v>
      </c>
      <c r="I12" s="2" t="s">
        <v>13</v>
      </c>
    </row>
    <row r="13" spans="1:9" x14ac:dyDescent="0.3">
      <c r="A13" s="2">
        <v>112</v>
      </c>
      <c r="B13" s="2" t="s">
        <v>10</v>
      </c>
      <c r="C13" s="2" t="s">
        <v>21</v>
      </c>
      <c r="D13" s="2" t="s">
        <v>42</v>
      </c>
      <c r="E13" s="2">
        <v>34</v>
      </c>
      <c r="F13" s="2">
        <v>1</v>
      </c>
      <c r="G13" s="2">
        <v>200</v>
      </c>
      <c r="H13" s="2" t="s">
        <v>20</v>
      </c>
      <c r="I13" s="2" t="s">
        <v>13</v>
      </c>
    </row>
    <row r="14" spans="1:9" ht="28.8" x14ac:dyDescent="0.3">
      <c r="A14" s="2">
        <v>113</v>
      </c>
      <c r="B14" s="2" t="s">
        <v>14</v>
      </c>
      <c r="C14" s="2" t="s">
        <v>24</v>
      </c>
      <c r="D14" s="2" t="s">
        <v>43</v>
      </c>
      <c r="E14" s="2">
        <v>77</v>
      </c>
      <c r="F14" s="2">
        <v>0</v>
      </c>
      <c r="G14" s="2">
        <v>176</v>
      </c>
      <c r="H14" s="2" t="s">
        <v>17</v>
      </c>
      <c r="I14" s="2" t="s">
        <v>13</v>
      </c>
    </row>
    <row r="15" spans="1:9" ht="28.8" x14ac:dyDescent="0.3">
      <c r="A15" s="2">
        <v>114</v>
      </c>
      <c r="B15" s="2" t="s">
        <v>15</v>
      </c>
      <c r="C15" s="2" t="s">
        <v>10</v>
      </c>
      <c r="D15" s="2" t="s">
        <v>44</v>
      </c>
      <c r="E15" s="2">
        <v>25</v>
      </c>
      <c r="F15" s="2">
        <v>4</v>
      </c>
      <c r="G15" s="2">
        <v>190</v>
      </c>
      <c r="H15" s="2" t="s">
        <v>26</v>
      </c>
      <c r="I15" s="2" t="s">
        <v>13</v>
      </c>
    </row>
    <row r="16" spans="1:9" ht="28.8" x14ac:dyDescent="0.3">
      <c r="A16" s="2">
        <v>115</v>
      </c>
      <c r="B16" s="2" t="s">
        <v>24</v>
      </c>
      <c r="C16" s="2" t="s">
        <v>9</v>
      </c>
      <c r="D16" s="2" t="s">
        <v>45</v>
      </c>
      <c r="E16" s="2">
        <v>95</v>
      </c>
      <c r="F16" s="2">
        <v>0</v>
      </c>
      <c r="G16" s="2">
        <v>170</v>
      </c>
      <c r="H16" s="2" t="s">
        <v>28</v>
      </c>
      <c r="I16" s="2" t="s">
        <v>13</v>
      </c>
    </row>
    <row r="17" spans="1:9" ht="28.8" x14ac:dyDescent="0.3">
      <c r="A17" s="2">
        <v>116</v>
      </c>
      <c r="B17" s="2" t="s">
        <v>29</v>
      </c>
      <c r="C17" s="2" t="s">
        <v>14</v>
      </c>
      <c r="D17" s="2" t="s">
        <v>46</v>
      </c>
      <c r="E17" s="2">
        <v>58</v>
      </c>
      <c r="F17" s="2">
        <v>0</v>
      </c>
      <c r="G17" s="2">
        <v>138</v>
      </c>
      <c r="H17" s="2" t="s">
        <v>32</v>
      </c>
      <c r="I17" s="2" t="s">
        <v>18</v>
      </c>
    </row>
    <row r="18" spans="1:9" ht="43.2" x14ac:dyDescent="0.3">
      <c r="A18" s="2">
        <v>117</v>
      </c>
      <c r="B18" s="2" t="s">
        <v>30</v>
      </c>
      <c r="C18" s="2" t="s">
        <v>35</v>
      </c>
      <c r="D18" s="2" t="s">
        <v>47</v>
      </c>
      <c r="E18" s="2">
        <v>44</v>
      </c>
      <c r="F18" s="2">
        <v>2</v>
      </c>
      <c r="G18" s="2">
        <v>165</v>
      </c>
      <c r="H18" s="2" t="s">
        <v>34</v>
      </c>
      <c r="I18" s="2" t="s">
        <v>13</v>
      </c>
    </row>
    <row r="19" spans="1:9" ht="28.8" x14ac:dyDescent="0.3">
      <c r="A19" s="2">
        <v>118</v>
      </c>
      <c r="B19" s="2" t="s">
        <v>21</v>
      </c>
      <c r="C19" s="2" t="s">
        <v>36</v>
      </c>
      <c r="D19" s="2" t="s">
        <v>48</v>
      </c>
      <c r="E19" s="2">
        <v>83</v>
      </c>
      <c r="F19" s="2">
        <v>0</v>
      </c>
      <c r="G19" s="2">
        <v>188</v>
      </c>
      <c r="H19" s="2" t="s">
        <v>49</v>
      </c>
      <c r="I19" s="2" t="s">
        <v>13</v>
      </c>
    </row>
    <row r="20" spans="1:9" ht="28.8" x14ac:dyDescent="0.3">
      <c r="A20" s="2">
        <v>119</v>
      </c>
      <c r="B20" s="2" t="s">
        <v>35</v>
      </c>
      <c r="C20" s="2" t="s">
        <v>10</v>
      </c>
      <c r="D20" s="2" t="s">
        <v>50</v>
      </c>
      <c r="E20" s="2">
        <v>21</v>
      </c>
      <c r="F20" s="2">
        <v>3</v>
      </c>
      <c r="G20" s="2">
        <v>155</v>
      </c>
      <c r="H20" s="2" t="s">
        <v>38</v>
      </c>
      <c r="I20" s="2" t="s">
        <v>18</v>
      </c>
    </row>
    <row r="21" spans="1:9" ht="28.8" x14ac:dyDescent="0.3">
      <c r="A21" s="2">
        <v>120</v>
      </c>
      <c r="B21" s="2" t="s">
        <v>36</v>
      </c>
      <c r="C21" s="2" t="s">
        <v>24</v>
      </c>
      <c r="D21" s="2" t="s">
        <v>51</v>
      </c>
      <c r="E21" s="2">
        <v>69</v>
      </c>
      <c r="F21" s="2">
        <v>0</v>
      </c>
      <c r="G21" s="2">
        <v>198</v>
      </c>
      <c r="H21" s="2" t="s">
        <v>40</v>
      </c>
      <c r="I21"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1645-7DB5-46BA-BB03-DA9D0DE9337C}">
  <dimension ref="A1:J21"/>
  <sheetViews>
    <sheetView workbookViewId="0">
      <selection sqref="A1:J21"/>
    </sheetView>
  </sheetViews>
  <sheetFormatPr defaultRowHeight="14.4" x14ac:dyDescent="0.3"/>
  <cols>
    <col min="1" max="1" width="12.77734375" customWidth="1"/>
    <col min="2" max="2" width="14.77734375" customWidth="1"/>
    <col min="3" max="3" width="14.44140625" customWidth="1"/>
    <col min="4" max="4" width="15.77734375" customWidth="1"/>
    <col min="5" max="5" width="11.109375" customWidth="1"/>
    <col min="6" max="6" width="11.77734375" customWidth="1"/>
    <col min="7" max="7" width="14.88671875" customWidth="1"/>
    <col min="8" max="8" width="23.33203125" customWidth="1"/>
    <col min="9" max="9" width="11" customWidth="1"/>
    <col min="10" max="10" width="23.109375" customWidth="1"/>
  </cols>
  <sheetData>
    <row r="1" spans="1:10" x14ac:dyDescent="0.3">
      <c r="A1" s="1" t="s">
        <v>0</v>
      </c>
      <c r="B1" s="1" t="s">
        <v>1</v>
      </c>
      <c r="C1" s="1" t="s">
        <v>2</v>
      </c>
      <c r="D1" s="1" t="s">
        <v>3</v>
      </c>
      <c r="E1" s="1" t="s">
        <v>4</v>
      </c>
      <c r="F1" s="1" t="s">
        <v>5</v>
      </c>
      <c r="G1" s="1" t="s">
        <v>6</v>
      </c>
      <c r="H1" s="1" t="s">
        <v>7</v>
      </c>
      <c r="I1" s="1" t="s">
        <v>8</v>
      </c>
      <c r="J1" s="1" t="s">
        <v>53</v>
      </c>
    </row>
    <row r="2" spans="1:10" x14ac:dyDescent="0.3">
      <c r="A2" s="2">
        <v>101</v>
      </c>
      <c r="B2" s="2" t="s">
        <v>9</v>
      </c>
      <c r="C2" s="2" t="s">
        <v>10</v>
      </c>
      <c r="D2" s="2" t="s">
        <v>11</v>
      </c>
      <c r="E2" s="2">
        <v>82</v>
      </c>
      <c r="F2" s="2">
        <v>0</v>
      </c>
      <c r="G2" s="2">
        <v>145</v>
      </c>
      <c r="H2" s="2" t="s">
        <v>52</v>
      </c>
      <c r="I2" s="2" t="s">
        <v>13</v>
      </c>
      <c r="J2" t="str">
        <f>IF(E2&gt;75,"Excellent",IF(E2&gt;50,"Good","Average"))</f>
        <v>Excellent</v>
      </c>
    </row>
    <row r="3" spans="1:10" x14ac:dyDescent="0.3">
      <c r="A3" s="2">
        <v>102</v>
      </c>
      <c r="B3" s="2" t="s">
        <v>14</v>
      </c>
      <c r="C3" s="2" t="s">
        <v>15</v>
      </c>
      <c r="D3" s="2" t="s">
        <v>16</v>
      </c>
      <c r="E3" s="2">
        <v>45</v>
      </c>
      <c r="F3" s="2">
        <v>0</v>
      </c>
      <c r="G3" s="2">
        <v>130</v>
      </c>
      <c r="H3" s="2" t="s">
        <v>17</v>
      </c>
      <c r="I3" s="2" t="s">
        <v>18</v>
      </c>
      <c r="J3" t="str">
        <f t="shared" ref="J3:J21" si="0">IF(E3&gt;75,"Excellent",IF(E3&gt;50,"Good","Average"))</f>
        <v>Average</v>
      </c>
    </row>
    <row r="4" spans="1:10" x14ac:dyDescent="0.3">
      <c r="A4" s="2">
        <v>103</v>
      </c>
      <c r="B4" s="2" t="s">
        <v>10</v>
      </c>
      <c r="C4" s="2" t="s">
        <v>9</v>
      </c>
      <c r="D4" s="2" t="s">
        <v>19</v>
      </c>
      <c r="E4" s="2">
        <v>67</v>
      </c>
      <c r="F4" s="2">
        <v>0</v>
      </c>
      <c r="G4" s="2">
        <v>150</v>
      </c>
      <c r="H4" s="2" t="s">
        <v>20</v>
      </c>
      <c r="I4" s="2" t="s">
        <v>18</v>
      </c>
      <c r="J4" t="str">
        <f t="shared" si="0"/>
        <v>Good</v>
      </c>
    </row>
    <row r="5" spans="1:10" x14ac:dyDescent="0.3">
      <c r="A5" s="2">
        <v>104</v>
      </c>
      <c r="B5" s="2" t="s">
        <v>21</v>
      </c>
      <c r="C5" s="2" t="s">
        <v>14</v>
      </c>
      <c r="D5" s="2" t="s">
        <v>22</v>
      </c>
      <c r="E5" s="2">
        <v>91</v>
      </c>
      <c r="F5" s="2">
        <v>0</v>
      </c>
      <c r="G5" s="2">
        <v>178</v>
      </c>
      <c r="H5" s="2" t="s">
        <v>23</v>
      </c>
      <c r="I5" s="2" t="s">
        <v>13</v>
      </c>
      <c r="J5" t="str">
        <f t="shared" si="0"/>
        <v>Excellent</v>
      </c>
    </row>
    <row r="6" spans="1:10" x14ac:dyDescent="0.3">
      <c r="A6" s="2">
        <v>105</v>
      </c>
      <c r="B6" s="2" t="s">
        <v>15</v>
      </c>
      <c r="C6" s="2" t="s">
        <v>24</v>
      </c>
      <c r="D6" s="2" t="s">
        <v>25</v>
      </c>
      <c r="E6" s="2">
        <v>38</v>
      </c>
      <c r="F6" s="2">
        <v>3</v>
      </c>
      <c r="G6" s="2">
        <v>210</v>
      </c>
      <c r="H6" s="2" t="s">
        <v>26</v>
      </c>
      <c r="I6" s="2" t="s">
        <v>13</v>
      </c>
      <c r="J6" t="str">
        <f t="shared" si="0"/>
        <v>Average</v>
      </c>
    </row>
    <row r="7" spans="1:10" x14ac:dyDescent="0.3">
      <c r="A7" s="2">
        <v>106</v>
      </c>
      <c r="B7" s="2" t="s">
        <v>24</v>
      </c>
      <c r="C7" s="2" t="s">
        <v>15</v>
      </c>
      <c r="D7" s="2" t="s">
        <v>27</v>
      </c>
      <c r="E7" s="2">
        <v>72</v>
      </c>
      <c r="F7" s="2">
        <v>0</v>
      </c>
      <c r="G7" s="2">
        <v>160</v>
      </c>
      <c r="H7" s="2" t="s">
        <v>28</v>
      </c>
      <c r="I7" s="2" t="s">
        <v>18</v>
      </c>
      <c r="J7" t="str">
        <f t="shared" si="0"/>
        <v>Good</v>
      </c>
    </row>
    <row r="8" spans="1:10" x14ac:dyDescent="0.3">
      <c r="A8" s="2">
        <v>107</v>
      </c>
      <c r="B8" s="2" t="s">
        <v>29</v>
      </c>
      <c r="C8" s="2" t="s">
        <v>30</v>
      </c>
      <c r="D8" s="2" t="s">
        <v>31</v>
      </c>
      <c r="E8" s="2">
        <v>56</v>
      </c>
      <c r="F8" s="2">
        <v>0</v>
      </c>
      <c r="G8" s="2">
        <v>142</v>
      </c>
      <c r="H8" s="2" t="s">
        <v>32</v>
      </c>
      <c r="I8" s="2" t="s">
        <v>13</v>
      </c>
      <c r="J8" t="str">
        <f t="shared" si="0"/>
        <v>Good</v>
      </c>
    </row>
    <row r="9" spans="1:10" x14ac:dyDescent="0.3">
      <c r="A9" s="2">
        <v>108</v>
      </c>
      <c r="B9" s="2" t="s">
        <v>30</v>
      </c>
      <c r="C9" s="2" t="s">
        <v>29</v>
      </c>
      <c r="D9" s="2" t="s">
        <v>33</v>
      </c>
      <c r="E9" s="2">
        <v>61</v>
      </c>
      <c r="F9" s="2">
        <v>0</v>
      </c>
      <c r="G9" s="2">
        <v>135</v>
      </c>
      <c r="H9" s="2" t="s">
        <v>34</v>
      </c>
      <c r="I9" s="2" t="s">
        <v>18</v>
      </c>
      <c r="J9" t="str">
        <f t="shared" si="0"/>
        <v>Good</v>
      </c>
    </row>
    <row r="10" spans="1:10" x14ac:dyDescent="0.3">
      <c r="A10" s="2">
        <v>109</v>
      </c>
      <c r="B10" s="2" t="s">
        <v>35</v>
      </c>
      <c r="C10" s="2" t="s">
        <v>36</v>
      </c>
      <c r="D10" s="2" t="s">
        <v>37</v>
      </c>
      <c r="E10" s="2">
        <v>88</v>
      </c>
      <c r="F10" s="2">
        <v>0</v>
      </c>
      <c r="G10" s="2">
        <v>152</v>
      </c>
      <c r="H10" s="2" t="s">
        <v>38</v>
      </c>
      <c r="I10" s="2" t="s">
        <v>13</v>
      </c>
      <c r="J10" t="str">
        <f t="shared" si="0"/>
        <v>Excellent</v>
      </c>
    </row>
    <row r="11" spans="1:10" x14ac:dyDescent="0.3">
      <c r="A11" s="2">
        <v>110</v>
      </c>
      <c r="B11" s="2" t="s">
        <v>36</v>
      </c>
      <c r="C11" s="2" t="s">
        <v>35</v>
      </c>
      <c r="D11" s="2" t="s">
        <v>39</v>
      </c>
      <c r="E11" s="2">
        <v>49</v>
      </c>
      <c r="F11" s="2">
        <v>0</v>
      </c>
      <c r="G11" s="2">
        <v>125</v>
      </c>
      <c r="H11" s="2" t="s">
        <v>40</v>
      </c>
      <c r="I11" s="2" t="s">
        <v>18</v>
      </c>
      <c r="J11" t="str">
        <f t="shared" si="0"/>
        <v>Average</v>
      </c>
    </row>
    <row r="12" spans="1:10" x14ac:dyDescent="0.3">
      <c r="A12" s="2">
        <v>111</v>
      </c>
      <c r="B12" s="2" t="s">
        <v>9</v>
      </c>
      <c r="C12" s="2" t="s">
        <v>14</v>
      </c>
      <c r="D12" s="2" t="s">
        <v>11</v>
      </c>
      <c r="E12" s="2">
        <v>101</v>
      </c>
      <c r="F12" s="2">
        <v>0</v>
      </c>
      <c r="G12" s="2">
        <v>185</v>
      </c>
      <c r="H12" s="2" t="s">
        <v>41</v>
      </c>
      <c r="I12" s="2" t="s">
        <v>13</v>
      </c>
      <c r="J12" t="str">
        <f t="shared" si="0"/>
        <v>Excellent</v>
      </c>
    </row>
    <row r="13" spans="1:10" x14ac:dyDescent="0.3">
      <c r="A13" s="2">
        <v>112</v>
      </c>
      <c r="B13" s="2" t="s">
        <v>10</v>
      </c>
      <c r="C13" s="2" t="s">
        <v>21</v>
      </c>
      <c r="D13" s="2" t="s">
        <v>42</v>
      </c>
      <c r="E13" s="2">
        <v>34</v>
      </c>
      <c r="F13" s="2">
        <v>1</v>
      </c>
      <c r="G13" s="2">
        <v>200</v>
      </c>
      <c r="H13" s="2" t="s">
        <v>20</v>
      </c>
      <c r="I13" s="2" t="s">
        <v>13</v>
      </c>
      <c r="J13" t="str">
        <f t="shared" si="0"/>
        <v>Average</v>
      </c>
    </row>
    <row r="14" spans="1:10" ht="16.2" customHeight="1" x14ac:dyDescent="0.3">
      <c r="A14" s="2">
        <v>113</v>
      </c>
      <c r="B14" s="2" t="s">
        <v>14</v>
      </c>
      <c r="C14" s="2" t="s">
        <v>24</v>
      </c>
      <c r="D14" s="2" t="s">
        <v>43</v>
      </c>
      <c r="E14" s="2">
        <v>77</v>
      </c>
      <c r="F14" s="2">
        <v>0</v>
      </c>
      <c r="G14" s="2">
        <v>176</v>
      </c>
      <c r="H14" s="2" t="s">
        <v>17</v>
      </c>
      <c r="I14" s="2" t="s">
        <v>13</v>
      </c>
      <c r="J14" t="str">
        <f t="shared" si="0"/>
        <v>Excellent</v>
      </c>
    </row>
    <row r="15" spans="1:10" x14ac:dyDescent="0.3">
      <c r="A15" s="2">
        <v>114</v>
      </c>
      <c r="B15" s="2" t="s">
        <v>15</v>
      </c>
      <c r="C15" s="2" t="s">
        <v>10</v>
      </c>
      <c r="D15" s="2" t="s">
        <v>44</v>
      </c>
      <c r="E15" s="2">
        <v>25</v>
      </c>
      <c r="F15" s="2">
        <v>4</v>
      </c>
      <c r="G15" s="2">
        <v>190</v>
      </c>
      <c r="H15" s="2" t="s">
        <v>26</v>
      </c>
      <c r="I15" s="2" t="s">
        <v>13</v>
      </c>
      <c r="J15" t="str">
        <f t="shared" si="0"/>
        <v>Average</v>
      </c>
    </row>
    <row r="16" spans="1:10" x14ac:dyDescent="0.3">
      <c r="A16" s="2">
        <v>115</v>
      </c>
      <c r="B16" s="2" t="s">
        <v>24</v>
      </c>
      <c r="C16" s="2" t="s">
        <v>9</v>
      </c>
      <c r="D16" s="2" t="s">
        <v>45</v>
      </c>
      <c r="E16" s="2">
        <v>95</v>
      </c>
      <c r="F16" s="2">
        <v>0</v>
      </c>
      <c r="G16" s="2">
        <v>170</v>
      </c>
      <c r="H16" s="2" t="s">
        <v>28</v>
      </c>
      <c r="I16" s="2" t="s">
        <v>13</v>
      </c>
      <c r="J16" t="str">
        <f t="shared" si="0"/>
        <v>Excellent</v>
      </c>
    </row>
    <row r="17" spans="1:10" x14ac:dyDescent="0.3">
      <c r="A17" s="2">
        <v>116</v>
      </c>
      <c r="B17" s="2" t="s">
        <v>29</v>
      </c>
      <c r="C17" s="2" t="s">
        <v>14</v>
      </c>
      <c r="D17" s="2" t="s">
        <v>46</v>
      </c>
      <c r="E17" s="2">
        <v>58</v>
      </c>
      <c r="F17" s="2">
        <v>0</v>
      </c>
      <c r="G17" s="2">
        <v>138</v>
      </c>
      <c r="H17" s="2" t="s">
        <v>32</v>
      </c>
      <c r="I17" s="2" t="s">
        <v>18</v>
      </c>
      <c r="J17" t="str">
        <f t="shared" si="0"/>
        <v>Good</v>
      </c>
    </row>
    <row r="18" spans="1:10" x14ac:dyDescent="0.3">
      <c r="A18" s="2">
        <v>117</v>
      </c>
      <c r="B18" s="2" t="s">
        <v>30</v>
      </c>
      <c r="C18" s="2" t="s">
        <v>35</v>
      </c>
      <c r="D18" s="2" t="s">
        <v>47</v>
      </c>
      <c r="E18" s="2">
        <v>44</v>
      </c>
      <c r="F18" s="2">
        <v>2</v>
      </c>
      <c r="G18" s="2">
        <v>165</v>
      </c>
      <c r="H18" s="2" t="s">
        <v>34</v>
      </c>
      <c r="I18" s="2" t="s">
        <v>13</v>
      </c>
      <c r="J18" t="str">
        <f t="shared" si="0"/>
        <v>Average</v>
      </c>
    </row>
    <row r="19" spans="1:10" x14ac:dyDescent="0.3">
      <c r="A19" s="2">
        <v>118</v>
      </c>
      <c r="B19" s="2" t="s">
        <v>21</v>
      </c>
      <c r="C19" s="2" t="s">
        <v>36</v>
      </c>
      <c r="D19" s="2" t="s">
        <v>48</v>
      </c>
      <c r="E19" s="2">
        <v>83</v>
      </c>
      <c r="F19" s="2">
        <v>0</v>
      </c>
      <c r="G19" s="2">
        <v>188</v>
      </c>
      <c r="H19" s="2" t="s">
        <v>23</v>
      </c>
      <c r="I19" s="2" t="s">
        <v>13</v>
      </c>
      <c r="J19" t="str">
        <f t="shared" si="0"/>
        <v>Excellent</v>
      </c>
    </row>
    <row r="20" spans="1:10" x14ac:dyDescent="0.3">
      <c r="A20" s="2">
        <v>119</v>
      </c>
      <c r="B20" s="2" t="s">
        <v>35</v>
      </c>
      <c r="C20" s="2" t="s">
        <v>10</v>
      </c>
      <c r="D20" s="2" t="s">
        <v>50</v>
      </c>
      <c r="E20" s="2">
        <v>21</v>
      </c>
      <c r="F20" s="2">
        <v>3</v>
      </c>
      <c r="G20" s="2">
        <v>155</v>
      </c>
      <c r="H20" s="2" t="s">
        <v>38</v>
      </c>
      <c r="I20" s="2" t="s">
        <v>18</v>
      </c>
      <c r="J20" t="str">
        <f t="shared" si="0"/>
        <v>Average</v>
      </c>
    </row>
    <row r="21" spans="1:10" x14ac:dyDescent="0.3">
      <c r="A21" s="2">
        <v>120</v>
      </c>
      <c r="B21" s="2" t="s">
        <v>36</v>
      </c>
      <c r="C21" s="2" t="s">
        <v>24</v>
      </c>
      <c r="D21" s="2" t="s">
        <v>51</v>
      </c>
      <c r="E21" s="2">
        <v>69</v>
      </c>
      <c r="F21" s="2">
        <v>0</v>
      </c>
      <c r="G21" s="2">
        <v>198</v>
      </c>
      <c r="H21" s="2" t="s">
        <v>40</v>
      </c>
      <c r="I21" s="2" t="s">
        <v>13</v>
      </c>
      <c r="J21" t="str">
        <f t="shared" si="0"/>
        <v>Good</v>
      </c>
    </row>
  </sheetData>
  <conditionalFormatting sqref="E2:E21">
    <cfRule type="cellIs" dxfId="7" priority="8" operator="greaterThan">
      <formula>75</formula>
    </cfRule>
    <cfRule type="cellIs" dxfId="6" priority="7" operator="between">
      <formula>75</formula>
      <formula>50</formula>
    </cfRule>
    <cfRule type="cellIs" dxfId="5" priority="6" operator="lessThan">
      <formula>50</formula>
    </cfRule>
  </conditionalFormatting>
  <conditionalFormatting sqref="F2:F21">
    <cfRule type="top10" dxfId="4" priority="5" rank="2"/>
    <cfRule type="cellIs" dxfId="3" priority="4" operator="equal">
      <formula>1</formula>
    </cfRule>
    <cfRule type="cellIs" dxfId="2" priority="3" operator="equal">
      <formula>2</formula>
    </cfRule>
    <cfRule type="cellIs" dxfId="1" priority="2" operator="equal">
      <formula>0</formula>
    </cfRule>
  </conditionalFormatting>
  <conditionalFormatting sqref="G2:G21">
    <cfRule type="cellIs" dxfId="0" priority="1" operator="greaterThan">
      <formula>170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0AC00-181B-4460-B2E6-8A123BAAEE7D}">
  <dimension ref="A2:T40"/>
  <sheetViews>
    <sheetView zoomScale="49" workbookViewId="0">
      <selection activeCell="M57" sqref="M57"/>
    </sheetView>
  </sheetViews>
  <sheetFormatPr defaultRowHeight="14.4" x14ac:dyDescent="0.3"/>
  <cols>
    <col min="1" max="1" width="19.6640625" bestFit="1" customWidth="1"/>
    <col min="2" max="2" width="16.88671875" bestFit="1" customWidth="1"/>
    <col min="13" max="13" width="19.6640625" bestFit="1" customWidth="1"/>
    <col min="14" max="14" width="25" bestFit="1" customWidth="1"/>
    <col min="19" max="19" width="12.5546875" bestFit="1" customWidth="1"/>
    <col min="20" max="20" width="14" bestFit="1" customWidth="1"/>
  </cols>
  <sheetData>
    <row r="2" spans="1:20" x14ac:dyDescent="0.3">
      <c r="A2" s="4" t="s">
        <v>55</v>
      </c>
      <c r="B2" t="s">
        <v>54</v>
      </c>
    </row>
    <row r="3" spans="1:20" x14ac:dyDescent="0.3">
      <c r="A3" s="5" t="s">
        <v>10</v>
      </c>
      <c r="B3" s="3">
        <v>101</v>
      </c>
      <c r="M3" s="4" t="s">
        <v>55</v>
      </c>
      <c r="N3" t="s">
        <v>57</v>
      </c>
      <c r="S3" s="4" t="s">
        <v>55</v>
      </c>
      <c r="T3" t="s">
        <v>58</v>
      </c>
    </row>
    <row r="4" spans="1:20" x14ac:dyDescent="0.3">
      <c r="A4" s="5" t="s">
        <v>29</v>
      </c>
      <c r="B4" s="3">
        <v>114</v>
      </c>
      <c r="M4" s="5" t="s">
        <v>38</v>
      </c>
      <c r="N4" s="3">
        <v>307</v>
      </c>
      <c r="S4" s="5" t="s">
        <v>10</v>
      </c>
      <c r="T4" s="3">
        <v>2</v>
      </c>
    </row>
    <row r="5" spans="1:20" x14ac:dyDescent="0.3">
      <c r="A5" s="5" t="s">
        <v>35</v>
      </c>
      <c r="B5" s="3">
        <v>109</v>
      </c>
      <c r="M5" s="5" t="s">
        <v>52</v>
      </c>
      <c r="N5" s="3">
        <v>145</v>
      </c>
      <c r="S5" s="5" t="s">
        <v>29</v>
      </c>
      <c r="T5" s="3">
        <v>2</v>
      </c>
    </row>
    <row r="6" spans="1:20" x14ac:dyDescent="0.3">
      <c r="A6" s="5" t="s">
        <v>15</v>
      </c>
      <c r="B6" s="3">
        <v>63</v>
      </c>
      <c r="M6" s="5" t="s">
        <v>41</v>
      </c>
      <c r="N6" s="3">
        <v>185</v>
      </c>
      <c r="S6" s="5" t="s">
        <v>35</v>
      </c>
      <c r="T6" s="3">
        <v>2</v>
      </c>
    </row>
    <row r="7" spans="1:20" x14ac:dyDescent="0.3">
      <c r="A7" s="5" t="s">
        <v>36</v>
      </c>
      <c r="B7" s="3">
        <v>118</v>
      </c>
      <c r="M7" s="5" t="s">
        <v>20</v>
      </c>
      <c r="N7" s="3">
        <v>350</v>
      </c>
      <c r="S7" s="5" t="s">
        <v>15</v>
      </c>
      <c r="T7" s="3">
        <v>2</v>
      </c>
    </row>
    <row r="8" spans="1:20" x14ac:dyDescent="0.3">
      <c r="A8" s="5" t="s">
        <v>14</v>
      </c>
      <c r="B8" s="3">
        <v>122</v>
      </c>
      <c r="M8" s="5" t="s">
        <v>32</v>
      </c>
      <c r="N8" s="3">
        <v>280</v>
      </c>
      <c r="S8" s="5" t="s">
        <v>36</v>
      </c>
      <c r="T8" s="3">
        <v>2</v>
      </c>
    </row>
    <row r="9" spans="1:20" x14ac:dyDescent="0.3">
      <c r="A9" s="5" t="s">
        <v>30</v>
      </c>
      <c r="B9" s="3">
        <v>105</v>
      </c>
      <c r="M9" s="5" t="s">
        <v>23</v>
      </c>
      <c r="N9" s="3">
        <v>366</v>
      </c>
      <c r="S9" s="5" t="s">
        <v>14</v>
      </c>
      <c r="T9" s="3">
        <v>2</v>
      </c>
    </row>
    <row r="10" spans="1:20" x14ac:dyDescent="0.3">
      <c r="A10" s="5" t="s">
        <v>9</v>
      </c>
      <c r="B10" s="3">
        <v>183</v>
      </c>
      <c r="M10" s="5" t="s">
        <v>28</v>
      </c>
      <c r="N10" s="3">
        <v>330</v>
      </c>
      <c r="S10" s="5" t="s">
        <v>30</v>
      </c>
      <c r="T10" s="3">
        <v>2</v>
      </c>
    </row>
    <row r="11" spans="1:20" x14ac:dyDescent="0.3">
      <c r="A11" s="5" t="s">
        <v>24</v>
      </c>
      <c r="B11" s="3">
        <v>167</v>
      </c>
      <c r="M11" s="5" t="s">
        <v>26</v>
      </c>
      <c r="N11" s="3">
        <v>400</v>
      </c>
      <c r="S11" s="5" t="s">
        <v>9</v>
      </c>
      <c r="T11" s="3">
        <v>2</v>
      </c>
    </row>
    <row r="12" spans="1:20" x14ac:dyDescent="0.3">
      <c r="A12" s="5" t="s">
        <v>21</v>
      </c>
      <c r="B12" s="3">
        <v>174</v>
      </c>
      <c r="M12" s="5" t="s">
        <v>40</v>
      </c>
      <c r="N12" s="3">
        <v>323</v>
      </c>
      <c r="S12" s="5" t="s">
        <v>24</v>
      </c>
      <c r="T12" s="3">
        <v>2</v>
      </c>
    </row>
    <row r="13" spans="1:20" x14ac:dyDescent="0.3">
      <c r="A13" s="5" t="s">
        <v>56</v>
      </c>
      <c r="B13" s="3">
        <v>1256</v>
      </c>
      <c r="M13" s="5" t="s">
        <v>34</v>
      </c>
      <c r="N13" s="3">
        <v>300</v>
      </c>
      <c r="S13" s="5" t="s">
        <v>21</v>
      </c>
      <c r="T13" s="3">
        <v>2</v>
      </c>
    </row>
    <row r="14" spans="1:20" x14ac:dyDescent="0.3">
      <c r="M14" s="5" t="s">
        <v>17</v>
      </c>
      <c r="N14" s="3">
        <v>306</v>
      </c>
      <c r="S14" s="5" t="s">
        <v>56</v>
      </c>
      <c r="T14" s="3">
        <v>20</v>
      </c>
    </row>
    <row r="15" spans="1:20" x14ac:dyDescent="0.3">
      <c r="M15" s="5" t="s">
        <v>56</v>
      </c>
      <c r="N15" s="3">
        <v>3292</v>
      </c>
    </row>
    <row r="20" spans="1:2" x14ac:dyDescent="0.3">
      <c r="A20" s="4" t="s">
        <v>55</v>
      </c>
      <c r="B20" t="s">
        <v>54</v>
      </c>
    </row>
    <row r="21" spans="1:2" x14ac:dyDescent="0.3">
      <c r="A21" s="5" t="s">
        <v>25</v>
      </c>
      <c r="B21" s="3">
        <v>38</v>
      </c>
    </row>
    <row r="22" spans="1:2" x14ac:dyDescent="0.3">
      <c r="A22" s="5" t="s">
        <v>46</v>
      </c>
      <c r="B22" s="3">
        <v>58</v>
      </c>
    </row>
    <row r="23" spans="1:2" x14ac:dyDescent="0.3">
      <c r="A23" s="5" t="s">
        <v>48</v>
      </c>
      <c r="B23" s="3">
        <v>83</v>
      </c>
    </row>
    <row r="24" spans="1:2" x14ac:dyDescent="0.3">
      <c r="A24" s="5" t="s">
        <v>45</v>
      </c>
      <c r="B24" s="3">
        <v>95</v>
      </c>
    </row>
    <row r="25" spans="1:2" x14ac:dyDescent="0.3">
      <c r="A25" s="5" t="s">
        <v>39</v>
      </c>
      <c r="B25" s="3">
        <v>49</v>
      </c>
    </row>
    <row r="26" spans="1:2" x14ac:dyDescent="0.3">
      <c r="A26" s="5" t="s">
        <v>47</v>
      </c>
      <c r="B26" s="3">
        <v>44</v>
      </c>
    </row>
    <row r="27" spans="1:2" x14ac:dyDescent="0.3">
      <c r="A27" s="5" t="s">
        <v>42</v>
      </c>
      <c r="B27" s="3">
        <v>34</v>
      </c>
    </row>
    <row r="28" spans="1:2" x14ac:dyDescent="0.3">
      <c r="A28" s="5" t="s">
        <v>51</v>
      </c>
      <c r="B28" s="3">
        <v>69</v>
      </c>
    </row>
    <row r="29" spans="1:2" x14ac:dyDescent="0.3">
      <c r="A29" s="5" t="s">
        <v>50</v>
      </c>
      <c r="B29" s="3">
        <v>21</v>
      </c>
    </row>
    <row r="30" spans="1:2" x14ac:dyDescent="0.3">
      <c r="A30" s="5" t="s">
        <v>31</v>
      </c>
      <c r="B30" s="3">
        <v>56</v>
      </c>
    </row>
    <row r="31" spans="1:2" x14ac:dyDescent="0.3">
      <c r="A31" s="5" t="s">
        <v>16</v>
      </c>
      <c r="B31" s="3">
        <v>45</v>
      </c>
    </row>
    <row r="32" spans="1:2" x14ac:dyDescent="0.3">
      <c r="A32" s="5" t="s">
        <v>19</v>
      </c>
      <c r="B32" s="3">
        <v>67</v>
      </c>
    </row>
    <row r="33" spans="1:2" x14ac:dyDescent="0.3">
      <c r="A33" s="5" t="s">
        <v>27</v>
      </c>
      <c r="B33" s="3">
        <v>72</v>
      </c>
    </row>
    <row r="34" spans="1:2" x14ac:dyDescent="0.3">
      <c r="A34" s="5" t="s">
        <v>33</v>
      </c>
      <c r="B34" s="3">
        <v>61</v>
      </c>
    </row>
    <row r="35" spans="1:2" x14ac:dyDescent="0.3">
      <c r="A35" s="5" t="s">
        <v>37</v>
      </c>
      <c r="B35" s="3">
        <v>88</v>
      </c>
    </row>
    <row r="36" spans="1:2" x14ac:dyDescent="0.3">
      <c r="A36" s="5" t="s">
        <v>44</v>
      </c>
      <c r="B36" s="3">
        <v>25</v>
      </c>
    </row>
    <row r="37" spans="1:2" x14ac:dyDescent="0.3">
      <c r="A37" s="5" t="s">
        <v>43</v>
      </c>
      <c r="B37" s="3">
        <v>77</v>
      </c>
    </row>
    <row r="38" spans="1:2" x14ac:dyDescent="0.3">
      <c r="A38" s="5" t="s">
        <v>22</v>
      </c>
      <c r="B38" s="3">
        <v>91</v>
      </c>
    </row>
    <row r="39" spans="1:2" x14ac:dyDescent="0.3">
      <c r="A39" s="5" t="s">
        <v>11</v>
      </c>
      <c r="B39" s="3">
        <v>183</v>
      </c>
    </row>
    <row r="40" spans="1:2" x14ac:dyDescent="0.3">
      <c r="A40" s="5" t="s">
        <v>56</v>
      </c>
      <c r="B40" s="3">
        <v>1256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22016-E08C-4A1A-A21C-D9754D1718E7}">
  <dimension ref="A1"/>
  <sheetViews>
    <sheetView zoomScale="69" workbookViewId="0">
      <selection activeCell="J2" sqref="J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formating</vt:lpstr>
      <vt:lpstr>pivot charts</vt:lpstr>
      <vt:lpstr>creating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yamunatanuku079@outlook.com</dc:creator>
  <cp:lastModifiedBy>yamunatanuku079@outlook.com</cp:lastModifiedBy>
  <dcterms:created xsi:type="dcterms:W3CDTF">2026-05-28T04:56:39Z</dcterms:created>
  <dcterms:modified xsi:type="dcterms:W3CDTF">2026-05-28T07:19:17Z</dcterms:modified>
</cp:coreProperties>
</file>